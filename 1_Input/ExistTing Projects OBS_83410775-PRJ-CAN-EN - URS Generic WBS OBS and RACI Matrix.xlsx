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vsdx" ContentType="application/vnd.ms-visio.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threadedComments/threadedComment1.xml" ContentType="application/vnd.ms-excel.threadedcomments+xml"/>
  <Override PartName="/xl/drawings/drawing3.xml" ContentType="application/vnd.openxmlformats-officedocument.drawing+xml"/>
  <Override PartName="/xl/drawings/drawing4.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210"/>
  <workbookPr defaultThemeVersion="124226"/>
  <mc:AlternateContent xmlns:mc="http://schemas.openxmlformats.org/markup-compatibility/2006">
    <mc:Choice Requires="x15">
      <x15ac:absPath xmlns:x15ac="http://schemas.microsoft.com/office/spreadsheetml/2010/11/ac" url="C:\Users\T0159164\Downloads\"/>
    </mc:Choice>
  </mc:AlternateContent>
  <xr:revisionPtr revIDLastSave="0" documentId="8_{F4A546D7-7136-4FEF-851F-26DB381DD25C}" xr6:coauthVersionLast="47" xr6:coauthVersionMax="47" xr10:uidLastSave="{00000000-0000-0000-0000-000000000000}"/>
  <bookViews>
    <workbookView xWindow="-110" yWindow="-110" windowWidth="29020" windowHeight="15820" tabRatio="699" xr2:uid="{00000000-000D-0000-FFFF-FFFF00000000}"/>
  </bookViews>
  <sheets>
    <sheet name="Template change log &amp; approval" sheetId="9" r:id="rId1"/>
    <sheet name="Generic WBS" sheetId="11" r:id="rId2"/>
    <sheet name="Detailed WBS" sheetId="12" r:id="rId3"/>
    <sheet name="WBS Instructions" sheetId="13" r:id="rId4"/>
    <sheet name="Generic OBS" sheetId="14" r:id="rId5"/>
    <sheet name="Generic CBS" sheetId="15" r:id="rId6"/>
    <sheet name="Generic RACI" sheetId="16" r:id="rId7"/>
  </sheets>
  <definedNames>
    <definedName name="_xlnm._FilterDatabase" localSheetId="2" hidden="1">'Detailed WBS'!$A$4:$AO$66</definedName>
    <definedName name="_xlnm.Print_Area" localSheetId="2">'Detailed WBS'!$A$1:$E$72</definedName>
    <definedName name="_xlnm.Print_Area" localSheetId="4">'Generic OBS'!$A$1:$T$50</definedName>
    <definedName name="_xlnm.Print_Area" localSheetId="6">'Generic RACI'!$A$1:$AP$123</definedName>
    <definedName name="_xlnm.Print_Area" localSheetId="1">'Generic WBS'!$A$1:$X$64</definedName>
    <definedName name="_xlnm.Print_Area" localSheetId="0">'Template change log &amp; approval'!$A$4:$M$46</definedName>
    <definedName name="_xlnm.Print_Area" localSheetId="3">'WBS Instructions'!$A$1:$H$49</definedName>
    <definedName name="proc">#REF!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47" i="12" l="1"/>
  <c r="D42" i="12" l="1"/>
  <c r="A42" i="12"/>
  <c r="D67" i="12" l="1"/>
  <c r="A67" i="12"/>
  <c r="A43" i="12" l="1"/>
  <c r="D52" i="12"/>
  <c r="A52" i="12"/>
  <c r="D50" i="12"/>
  <c r="A50" i="12"/>
  <c r="D45" i="12"/>
  <c r="A45" i="12"/>
  <c r="D51" i="12"/>
  <c r="A51" i="12"/>
  <c r="A46" i="12"/>
  <c r="D48" i="12"/>
  <c r="A48" i="12"/>
  <c r="D49" i="12"/>
  <c r="A49" i="12"/>
  <c r="B2" i="16" l="1"/>
  <c r="B2" i="15"/>
  <c r="B2" i="14"/>
  <c r="B2" i="13"/>
  <c r="B2" i="12"/>
  <c r="A2" i="11"/>
  <c r="D12" i="12"/>
  <c r="A12" i="12"/>
  <c r="D63" i="12"/>
  <c r="A63" i="12"/>
  <c r="D66" i="12"/>
  <c r="A66" i="12"/>
  <c r="D65" i="12"/>
  <c r="A65" i="12"/>
  <c r="A64" i="12"/>
  <c r="D62" i="12"/>
  <c r="A62" i="12"/>
  <c r="D61" i="12"/>
  <c r="A61" i="12"/>
  <c r="D60" i="12"/>
  <c r="A60" i="12"/>
  <c r="D59" i="12"/>
  <c r="A59" i="12"/>
  <c r="D58" i="12"/>
  <c r="A58" i="12"/>
  <c r="D57" i="12"/>
  <c r="A57" i="12"/>
  <c r="D56" i="12"/>
  <c r="A56" i="12"/>
  <c r="D55" i="12"/>
  <c r="A55" i="12"/>
  <c r="A54" i="12"/>
  <c r="A44" i="12"/>
  <c r="D41" i="12"/>
  <c r="A41" i="12"/>
  <c r="A40" i="12"/>
  <c r="D39" i="12"/>
  <c r="A39" i="12"/>
  <c r="D38" i="12"/>
  <c r="A38" i="12"/>
  <c r="D37" i="12"/>
  <c r="A37" i="12"/>
  <c r="D36" i="12"/>
  <c r="A36" i="12"/>
  <c r="D35" i="12"/>
  <c r="A35" i="12"/>
  <c r="D34" i="12"/>
  <c r="A34" i="12"/>
  <c r="D33" i="12"/>
  <c r="A33" i="12"/>
  <c r="D32" i="12"/>
  <c r="A32" i="12"/>
  <c r="D30" i="12"/>
  <c r="A30" i="12"/>
  <c r="D31" i="12"/>
  <c r="A31" i="12"/>
  <c r="D29" i="12"/>
  <c r="A29" i="12"/>
  <c r="D28" i="12"/>
  <c r="A28" i="12"/>
  <c r="D27" i="12"/>
  <c r="A27" i="12"/>
  <c r="D26" i="12"/>
  <c r="D25" i="12"/>
  <c r="A25" i="12"/>
  <c r="D24" i="12"/>
  <c r="A24" i="12"/>
  <c r="D23" i="12"/>
  <c r="A23" i="12"/>
  <c r="D22" i="12"/>
  <c r="A22" i="12"/>
  <c r="D21" i="12"/>
  <c r="A21" i="12"/>
  <c r="D20" i="12"/>
  <c r="A20" i="12"/>
  <c r="D19" i="12"/>
  <c r="A19" i="12"/>
  <c r="A18" i="12"/>
  <c r="D53" i="12"/>
  <c r="A53" i="12"/>
  <c r="D17" i="12"/>
  <c r="A17" i="12"/>
  <c r="D16" i="12"/>
  <c r="A16" i="12"/>
  <c r="D15" i="12"/>
  <c r="A15" i="12"/>
  <c r="D14" i="12"/>
  <c r="A14" i="12"/>
  <c r="A13" i="12"/>
  <c r="D11" i="12"/>
  <c r="A11" i="12"/>
  <c r="D10" i="12"/>
  <c r="A10" i="12"/>
  <c r="D9" i="12"/>
  <c r="A9" i="12"/>
  <c r="D8" i="12"/>
  <c r="A8" i="12"/>
  <c r="D7" i="12"/>
  <c r="A7" i="12"/>
  <c r="A6" i="1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Thomas Delevacque</author>
  </authors>
  <commentList>
    <comment ref="K4" authorId="0" shapeId="0" xr:uid="{00000000-0006-0000-0200-000001000000}">
      <text>
        <r>
          <rPr>
            <b/>
            <sz val="9"/>
            <color indexed="81"/>
            <rFont val="Tahoma"/>
            <family val="2"/>
          </rPr>
          <t xml:space="preserve">Quality requirements </t>
        </r>
        <r>
          <rPr>
            <sz val="9"/>
            <color indexed="81"/>
            <rFont val="Tahoma"/>
            <family val="2"/>
          </rPr>
          <t>should list any specific Quality requirements for the project for each WBS element: e.g. If Quality Assurance plan is one of the WBS element than if the project requires to be complaint with ISO standard we should list the ISO standard in this column</t>
        </r>
      </text>
    </comment>
    <comment ref="L4" authorId="0" shapeId="0" xr:uid="{00000000-0006-0000-0200-000002000000}">
      <text>
        <r>
          <rPr>
            <b/>
            <sz val="9"/>
            <color indexed="81"/>
            <rFont val="Tahoma"/>
            <family val="2"/>
          </rPr>
          <t xml:space="preserve">Acceptance criteria </t>
        </r>
        <r>
          <rPr>
            <sz val="9"/>
            <color indexed="81"/>
            <rFont val="Tahoma"/>
            <family val="2"/>
          </rPr>
          <t xml:space="preserve">column should list the acceptance criteria for each WBS element: e.g for the above example QAP plan released under ECN and approved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tc={22B5D0B4-44E9-4FB5-8F0B-E49A025521D3}</author>
  </authors>
  <commentList>
    <comment ref="B44" authorId="0" shapeId="0" xr:uid="{22B5D0B4-44E9-4FB5-8F0B-E49A025521D3}">
      <text>
        <t>[Threaded comment]
Your version of Excel allows you to read this threaded comment; however, any edits to it will get removed if the file is opened in a newer version of Excel. Learn more: https://go.microsoft.com/fwlink/?linkid=870924
Comment:
    @DELEVACQUE Thomas Remove TCTS references</t>
      </text>
    </comment>
  </commentList>
</comments>
</file>

<file path=xl/sharedStrings.xml><?xml version="1.0" encoding="utf-8"?>
<sst xmlns="http://schemas.openxmlformats.org/spreadsheetml/2006/main" count="965" uniqueCount="529">
  <si>
    <t>GTS MANAGEMENT SYSTEM</t>
  </si>
  <si>
    <t>URS Generic WBS, OBS and RACI Matrix</t>
  </si>
  <si>
    <t>83410775-PRJ-CAN-EN-012</t>
  </si>
  <si>
    <t>Template</t>
  </si>
  <si>
    <t xml:space="preserve">Please refer to GTS Management System for:
• The process activity to which this document is attached
• The criteria (country, company…) applicable to this document
• The latest version in force, unless otherwise specified in your context
</t>
  </si>
  <si>
    <t>If you cannot find this document in GTS Management System, it means that it is not applicable to you.</t>
  </si>
  <si>
    <t>Abstract</t>
  </si>
  <si>
    <t>The generic WBS, OBS and RACI matrix to be used for URS projects. The generic templates provided in this document will need to be adapted to the specific project needs.</t>
  </si>
  <si>
    <t>Log of changes</t>
  </si>
  <si>
    <t>Revision</t>
  </si>
  <si>
    <t>Description</t>
  </si>
  <si>
    <t>Publication date</t>
  </si>
  <si>
    <t>001</t>
  </si>
  <si>
    <t>First Issue
Peer review reference: TCTS-CHR-15-007</t>
  </si>
  <si>
    <t>002</t>
  </si>
  <si>
    <t>Generic CBS tab added. Generic WBS L6 tab added</t>
  </si>
  <si>
    <t>003</t>
  </si>
  <si>
    <t>Modified the flow chart for Generic OBS-Domestic and Generic OBS-Export. Removed the  revision level on the top right of the embedded Chart on the Generic OBS and CBS. Changed Written By Name. Updated tailoring tab</t>
  </si>
  <si>
    <t>004</t>
  </si>
  <si>
    <t>In support of CR 038790 :
Generic WBSL6 tab: Added WBS activity 1.1.7 Non-Technical Requirements Management
WBS Instructions: Removed document Revision numbers &amp; added comment for table to be checked.
Generic OBS – Domestic tab: OBS updated to include DDQS Stakeholders and reflect changes in Engineering &amp; Services Project Organization. 
Generic OBS – Export tab: tab removed.
Generic RACI tab: Added R&amp;O Management, &amp; Non-Technical Requiremnts Mgt
Tailoring Sheet : tab removed
Log of changes and approval: removed as duplication from Abstract &amp; Log of changes tab</t>
  </si>
  <si>
    <t>005</t>
  </si>
  <si>
    <t>Migration to new Template
All tabs modified to include new Solution Deployment and Services (SDS) Organization
Further engineering WBS/CBS/RACI changes to come in revision 006 of this document.</t>
  </si>
  <si>
    <t>006</t>
  </si>
  <si>
    <t>Generic OBS: removal of ATS role. Addition of PPTM role. R&amp;O Manager outside of POM responsibility. HSE Manager from PM's responsibility to Deployment Manager's responsibility.
Generic WBSL5: Removal of costs placeholders "Contigencies" &amp; "Others like Direct Selling Costs". Merge of Solution Engineering &amp; System IVVQ Workpackages. Sligth amendments to Solution Deployment workpackage.
Generic WBS: Visio reflecting changes to Generic WBSL5 tab
Generic CBS: Visio reflecting changes to Generic WBSL5 tab
Generic RACI: Table reflecting changes brought to the OBS &amp; WBS
WBS Instructions: table reflecting changes brought to the WBS</t>
  </si>
  <si>
    <t>007</t>
  </si>
  <si>
    <t>Generic WBS &amp; Generic CBS: update of WBS 5.1.2 from "Schedule Management" to "Schedule &amp; Resource Management"
Generic WBSL5: update of tab title from "WBS L6 for URS Projects" to "WBS L5 for URS Projects". Some activities renamed &amp; renumbered, please refer to column F "Changes from previous WBS".
Generic WBSL5: update of the WBS dictionnary
Generic WBS, Generic WBSL5 &amp; Generic CBS: WP 2.5 Cyber Security split in 2 WP.
Generic OBS: Addition of 3 roles (Cyber Sec Authority, Cyber Sec Eng Manager, Cyber Sec Assurance Manager) and Technical Interface Leader. Adjustments in dotted lines/full lines for Safety Authority, Safety Assurance and Quality Assurance.
Generic RACI: Addition of Cyber Security WPs &amp; OBS roles.
Generic CBS: Addition of "Project Closure" placeholders.</t>
  </si>
  <si>
    <t>008</t>
  </si>
  <si>
    <t>Generic WBS: Visio limited to WBS L2 workpackages.
Detailed WBS: consolidation of procurement activities under WP1.4 (activities "3.8.2.6 OnBoard Material Procurement" and "3.8.3.6  WS/Central Material Procurement" have been removed.
Detailed WBS, Generic CBS, Generic RACI: Remove Stakeholders Mgt &amp; NTR Mgt in WP1.
Generic OBS &amp; Generic RACI : Addition of Chief Engineer role.  
Detailed WBS : Update of Safety Engineering &amp; RAM Engineering WPs breakdown.
Generic WBS, Detailed WBS, Generic CBS, Generic RACI: Project Configuration Management merge into 3.1.5 Solution Configuration Management. Configuration Manager reporting to SEM and Site Configuration Manager reporting to Deployment Project Manager.
Generic WBS, Detailed WBS, Generic CBS, Generic RACI: Cost Control Management moved from 1.1.1 to 1.2.
Generic WBS, Detailed WBS, Generic CBS, Generic RACI: Transfer of Cyber Security development from WP 2 to WP 3.9.
Generic WBS, Detailed WBS, Generic CBS, Generic RACI: changes to Solutions Deployment WPs (Additional breakdown to Infrastructure Design, Addition of Warehouse &amp; Logistic and Decommissioning WPs, Split T&amp;C from Deployment) &amp; Services WP (removal Customer Support Mgt WP)
Detailed WBS: more breakdown provided to Operations Training &amp; Maintenance Training.
Generic WBS, Detailed WBS, Generic CBS, Generic RACI: Specialty Engineering created &amp; left blank. Will be used in the future for non-core CBTC activities like Artificial Intelligence or Bid Data Analytics.
Generic OBS: Safety Engineering Manager has been renamed Project Safety Manager Closure CR052329</t>
  </si>
  <si>
    <t>009</t>
  </si>
  <si>
    <t>Generic WBS, Detailed WBS, Generic CBS, Generic RACI: WP2 renamed to Technical Safety
Generic OBS: changes in Safety OBS
Generic RACI: Safety Authority &amp; Project Design Authority are ""(C)onsuled" regarding "Independent Validation" artefacts  (CR052044)
Generic WBS, Detailed WBS, Generic CBS, Generic RACI: WP1.6 Project Configuration Management added
Generic WBS, Detailed WBS, Generic CBS, Generic RACI: WP3.9b Cyber IT Design added (and System Platform Software &amp; Integration renumbered 3.9a)
Detailed WBS : limitation of WP3 to WBS Level 2 activities.
Generic OBS: Chief Engineer has been ranmed Chief Engineering Architect due to local regulations</t>
  </si>
  <si>
    <t>010</t>
  </si>
  <si>
    <t>Generic WBS, Detailed WBS, Generic CBS, Generic RACI: WP4 created which consolidates DCS, Network &amp; Cyber activities. (WP to be either WP3.8 or WP4 depending on a set of rules captured on the right of the WBS &amp; CBS)
Generic WBS, Detailed WBS, Generic CBS, Generic RACI: Training WP transferred from 5.1 to WP 5.9.
Generic WBS, Detailed WBS, Generic CBS, Generic RACI: Publication &amp; Archives WP transferred from 5.1 to WP1.6.
Generic WBS, Detailed WBS, Generic CBS, Generic RACI : Project Configuration Management WP removed
Generic OBS and Generic RACI: changes to Deployment OBS
Generic OBS and Generic RACI: Safety OBS updated
Generic WBS, Detailed WBS, Generic CBS: changes in WP3 Engineering Workpackages</t>
  </si>
  <si>
    <t>011</t>
  </si>
  <si>
    <t>Detailed WBS: changes in details of WP 4.1
Generic OBS: correction in the dotted line reporting of SAM to PSM
Generic OBS: Project Admin &amp; Publications are reporting to the Data Manager.
Detailed WBS: Deletion of "Test &amp; Commissioning Support" activity which should not have been listed.</t>
  </si>
  <si>
    <t>012</t>
  </si>
  <si>
    <t>Updated to Hitachi template as per QUAL-5663</t>
  </si>
  <si>
    <t>Internal signature</t>
  </si>
  <si>
    <t>Actor</t>
  </si>
  <si>
    <t>Role / Job title</t>
  </si>
  <si>
    <t>Name</t>
  </si>
  <si>
    <t>Signature</t>
  </si>
  <si>
    <t>Signature date</t>
  </si>
  <si>
    <t>Written by</t>
  </si>
  <si>
    <t>URS PMO Manager</t>
  </si>
  <si>
    <t>Thomas Delevacque</t>
  </si>
  <si>
    <t>Verified by</t>
  </si>
  <si>
    <t>CCM</t>
  </si>
  <si>
    <t xml:space="preserve">Patricia Lavergne </t>
  </si>
  <si>
    <t>Approved by</t>
  </si>
  <si>
    <t>5.2 CPO</t>
  </si>
  <si>
    <t>Francois Coursault</t>
  </si>
  <si>
    <t xml:space="preserve"> Hitachi Rail – Internal </t>
  </si>
  <si>
    <t>This document may not be reproduced, modified, adapted, published, translated, in any way, in whole or in part, or disclosed to a third party without the prior written consent of HITACHI RAIL</t>
  </si>
  <si>
    <t>© Hitachi Rail Limited 2025. All rights reserved.</t>
  </si>
  <si>
    <t>Template: 87201589-QCI-GRP-EN-014</t>
  </si>
  <si>
    <t>Generic WBS</t>
  </si>
  <si>
    <t xml:space="preserve">Detailed WBS for URS Projects        </t>
  </si>
  <si>
    <t>(In red, changes from last revision)</t>
  </si>
  <si>
    <t>WBS Dictionary</t>
  </si>
  <si>
    <t>WBS Level</t>
  </si>
  <si>
    <t>WBS Code</t>
  </si>
  <si>
    <t>WBS Name</t>
  </si>
  <si>
    <t>Reports to</t>
  </si>
  <si>
    <t>Changes from previous WBS</t>
  </si>
  <si>
    <t>WBS activity Description</t>
  </si>
  <si>
    <t>Owner</t>
  </si>
  <si>
    <t>WBS input(s)</t>
  </si>
  <si>
    <t>WBS output(s)</t>
  </si>
  <si>
    <t>Quality Requirement(s)</t>
  </si>
  <si>
    <t>Acceptance Criteria</t>
  </si>
  <si>
    <t>Earned Value Definition
(defined only at level 2)</t>
  </si>
  <si>
    <t>URS Transport Project</t>
  </si>
  <si>
    <t>Program Management</t>
  </si>
  <si>
    <t>• Management baseline and plan (WBS/OBS/work-packages, schedule, cost estimates, risks, data management, etc.) 
• Personnel management (skills, workloads, resources).
• Program monitoring (status report, progress, cost, financing, etc.), performance report (progress report).</t>
  </si>
  <si>
    <t>PM
Assisted by POM, Risk Manager, Data Manager &amp; Project Assistant</t>
  </si>
  <si>
    <t>Notification to Proceed (NTP)
Complete Bid Package
WP agreements
Project Management Plan (if any)</t>
  </si>
  <si>
    <t>Project Management Plan
Deliverable CDRL list
Customer &amp; Internal Stakeholder reports (Project Schedule, Data Management Plan, Project Review Dashboard)
Customer Sign-off - Provisional Acceptance
Project Closeout Checklist</t>
  </si>
  <si>
    <t xml:space="preserve">Compliance to GTS MS Manage Project (5.2) process and re-use of Group or entity tools &amp; template (WBS/OBS/work-packages,...) </t>
  </si>
  <si>
    <t>Continues throughout project to handover to SD&amp;S Group for Warranty Services</t>
  </si>
  <si>
    <t>Level of Effort</t>
  </si>
  <si>
    <t>Cost Control  Management</t>
  </si>
  <si>
    <t>• Management cost baseline and financial reporting</t>
  </si>
  <si>
    <t>PCC</t>
  </si>
  <si>
    <t>WBS structure</t>
  </si>
  <si>
    <t>Project Review Dashboard</t>
  </si>
  <si>
    <t>Contract Management</t>
  </si>
  <si>
    <t>• Preparation of contractual correspondence, notifications
• Negotiation of penalties, contract changes, claims, commercial issues</t>
  </si>
  <si>
    <t>Contract Manager</t>
  </si>
  <si>
    <t>Contract documents, compliance matrix</t>
  </si>
  <si>
    <t>Project Close-out Checklist</t>
  </si>
  <si>
    <t>Procurement</t>
  </si>
  <si>
    <t>• Make-or-buy strategy
• Analysis and monitoring of procurement and supply chain risks / site quality control</t>
  </si>
  <si>
    <t>Acquisition Project Manager</t>
  </si>
  <si>
    <t xml:space="preserve">Bid Package including schedule, equipment list, technical requirements
Contractual requirements </t>
  </si>
  <si>
    <t>Project Procurement Plan
IPP (cost, lead time, risks, supplier strategy, export restrictions)
Inspection and Testing Plan</t>
  </si>
  <si>
    <t>Quality Assurance</t>
  </si>
  <si>
    <t>• All quality activities across entire program system:, quality assurance, auditing.
• Monitoring of norms and standards applicable to the contract</t>
  </si>
  <si>
    <t>Quality Manager</t>
  </si>
  <si>
    <t>Quality Plan
Audit, Assessment, and Analysis Report</t>
  </si>
  <si>
    <t>Publications and Archives</t>
  </si>
  <si>
    <t>moved from 5.2</t>
  </si>
  <si>
    <t>• Publication &amp; Archiving of Internal documentation</t>
  </si>
  <si>
    <t>Publications WPM</t>
  </si>
  <si>
    <t xml:space="preserve"> Publication and archiving of documents</t>
  </si>
  <si>
    <t>Technical Safety</t>
  </si>
  <si>
    <t>Safety Engineering</t>
  </si>
  <si>
    <t>• Conduct hazard identification studies (HAZOP/HAZID) and hazard analyses (FHA, FTA) and derive safety requirements. 
• Perform safety design reviews (system, software and hardware) and safety analyses to ensure compliance to safety design principles and requirements.
• Review verification and validation plans, test procedures and reports to confirm coverage by test and analysis.
• Record and track hazards (Hazard Log), control measures, design and verification and validation evidence and confirm the hazard risks are tolerable.
• Prepare safety appraisals, safety cases (design and implementation) and safety memos to demonstrate the system is safe for its intended purpose.</t>
  </si>
  <si>
    <t>Safety Engineering Manager</t>
  </si>
  <si>
    <t xml:space="preserve">Project Management Plan, SEMP, SW Dev Plan, HwEM Plan, Sys Data Mgt Plan,  Sys Verification plan, Sys Validation plan,  System Test Plan
Customer Requirements Specification, System Architecture Specification, System Requirements Specification, Subsystem Requirements Specification
Interface Control Documents
System Detailed Design
Operation Manuals and Guides
Test Procedures, Test Reports
Migration Plan
Software Architecture Specification, Software Detail Design
Hardware Requirements Specification, Hardware Detail Design, Hardware Schematics, Interface Schematics, Wiring Drawings
</t>
  </si>
  <si>
    <t>System Safety Plan
Preliminary Hazard Analysis
System Hazard Analysis
Interface Hazard Analysis
HAZOP/HAZID Reports
Functional Safety Analyses
Hardware Safety Studies
Software Safety  Studies
FMEA/FMECA Reports
Fault Tree Analysis
Hazard Log
Safety-related Application Conditions Report
Safety Cases/Reports (product, platform, generic application, specific application – design and implementation)
Technical Support - Integrated Design Team, Safety Design Reviews
Support CCRB/PCRs
Review and Approve Documents – Plans, Test Procedures
Safety Analyses and White Papers</t>
  </si>
  <si>
    <t>Delivery of safety case and approval of safety certificate by Safety Authority URS.</t>
  </si>
  <si>
    <t>Safety Assurance</t>
  </si>
  <si>
    <t>Assure the safety of our delivered solutions by performing Safety Assurance Gate Reviews (SAGRs), independent safety audits/assessments, and Root Cause Analysis (RCA) investigations (as needed) for commercial projects and for internal product development in order to identify issues related to technical safety and applied processes.</t>
  </si>
  <si>
    <t>Safety Assurance Manager</t>
  </si>
  <si>
    <t>RAM and Safety Plans
Engineering Plans (including System 
Design, System Operations, HW and SW)
IVQ Plans
Safety and Hazard Analyses
Safety Case</t>
  </si>
  <si>
    <t>Internal Safety Assurance Plan (per project or product)
Safety Assurance Gate Review (SAGR) Checklist
SAGR Findings Log
Internal Safety Audit/Assessment Report
Safety Certification Readiness Review (SCRR) Checklist
Root Cause Analysis Report (if required)</t>
  </si>
  <si>
    <t>CENELEC Standards -
EN 50126-1:1999,  EN 50128:2011, 
EN 50129:2003,  EN 50157:2010
AREMA
IEE 1474.1</t>
  </si>
  <si>
    <t>- Internal Safety Assurance Plan approved by Safety Assurance director
- Applicable DDQS gate passes with Safety Assurance acceptance
- Internal Safety Audit/Assessment Reportapproved by Safety Assurance director
- Safety Authority and, if applicable), external ISA acceptance of the safety case.
- Root Cause Analysis Report approved by Safety Assurance director and the Hitachi Rail GTS Canada Safety Authority.</t>
  </si>
  <si>
    <t>RAMT (RAM &amp; Testability)</t>
  </si>
  <si>
    <t>• Perform RAM analyses to confirm system performance and compliance to RAM targets.
• Review system architecture and hardware design (FMEA/CA) to identify Single Point Failures (SPF) and Common Cause Failures (CCF).
• Perform Testability Analysis to evaluate the fault detection and isolation coverage.
 • Perform Spare Parts Analysis for the system warranty period/system life.
• Monitor the system performance during the demonstration period and produce reports.</t>
  </si>
  <si>
    <t>RAM Manager</t>
  </si>
  <si>
    <t xml:space="preserve">System Architecture Specification, System Requirements Specification, Hardware Requirements Specification
Hardware Detail Design, Hardware Schematics
Interface Schematics, Wiring Drawings
Equipment Layout, Bill of Material, Equipment Family Tree
Component/Part Hardware Specifications
Operation Manuals and Guides
</t>
  </si>
  <si>
    <t xml:space="preserve">RAM Plan
RAM Analysis
Spare Parts Analysis
Special Tools and Equipment List
Testability Analysis
System FMEA/CA
RAM Demonstration Plan
RAM Demonstration Report
</t>
  </si>
  <si>
    <t xml:space="preserve">Approval of applicable RAM documents by Design Authority and Project Manager. </t>
  </si>
  <si>
    <t>Independent Validation</t>
  </si>
  <si>
    <t>Provides objective confirmation that a solution {element} is suitable for the intended operation in the intended environment by using planned analyses, based on evidence, to support a judgment regarding satisfaction of stakeholders’ expectations, particularly those for RAMS and Quality, as part of a determination of its overall fitness for purpose.</t>
  </si>
  <si>
    <t>Independent Validator</t>
  </si>
  <si>
    <t>Design Validation(s) (and Design Justification Files), Operational Concept Description(s), Service File(s), Verification Plan(s), Engineering Management Plan(s), Project (and Work Package) Management Plan(s), Quality Assurance Plan(s), Configuration Management Plan(s), Safety Plan(s), RAM Plan(s), Product Breakdown Structure,  Quality Management Report(s), Configuration Management Report(s), Hazard Log(s), RAM Analyses
Engineering Reviews Records &amp; referenced artefacts</t>
  </si>
  <si>
    <t>Solution Validation Plan 
Solution Validation Report</t>
  </si>
  <si>
    <t>Validation objectives of CENELEC standards - EN50126-1:2017, EN50126-2:2017,  EN50128:2011, EN50129:2018 (including applicable corrigenda and normative references)
Validation objectives of IEEE standard  - 1012:2016 (including applicable corrigenda and normative references)</t>
  </si>
  <si>
    <t>Validation Plan agreed by Safety Authority
Validation Report taken into account in Safety Case</t>
  </si>
  <si>
    <t>3</t>
  </si>
  <si>
    <t>Solution Engineering</t>
  </si>
  <si>
    <t>3.1</t>
  </si>
  <si>
    <t>Project Engineering Management (PEM)</t>
  </si>
  <si>
    <t>Renamed/added to group PEM workpackages</t>
  </si>
  <si>
    <t xml:space="preserve">Project Management Director
</t>
  </si>
  <si>
    <t xml:space="preserve">Project Management Plan
BID Package (Engineering Cost Estimate, Requirement Compliance Matrix, DVA)
WPA Engineering
Project Schedule
R&amp;O register
DVA
</t>
  </si>
  <si>
    <t xml:space="preserve">Solution Engineering Management Plan (SEMP)
WPA per Engineering WP
Engineering Dashboard
Contribution to: Project Schedule
Contribution to: R&amp;O Register
DVA
Validation of DDQS Reviews
</t>
  </si>
  <si>
    <t>3.1.1</t>
  </si>
  <si>
    <t>Solution Engineering Manager (SEM)</t>
  </si>
  <si>
    <t>• Management Engineering baseline and plan (WBS/OBS/work-packages, schedule, cost estimates, risks, etc.) 
• Resource management (skills, workloads).
• Engineering WP monitoring (status report, progress, cost, financing, etc.), performance report (progress report).
• Management of the overall Engineering WP Schedule
• Calculation &amp; Monitoring of the critical path
• update of Budget, ETC and EAC forecasts per CBS based on WPM inputs
• Overall Engineering WP responsibility and lead role for opportunities and risk management efforts.</t>
  </si>
  <si>
    <t>PEM Director</t>
  </si>
  <si>
    <t xml:space="preserve">Project Management Plan
BID Package (Engineering Cost Estimate)
WPA Engineering
Project Schedule
R&amp;O register
</t>
  </si>
  <si>
    <t xml:space="preserve">Solution Engineering Management Plan (SEMP)
WPA per Engineering WP
Engineering Dashboard
Contribution to: Project Schedule
Contribution to: R&amp;O Register
</t>
  </si>
  <si>
    <t>3.1.2</t>
  </si>
  <si>
    <t>Project Design Authority (PDA)</t>
  </si>
  <si>
    <t xml:space="preserve">Authority role for Product design instantiation to the project
- Guarantees the integrity, relevance and feasibility of the Bids and Projects technical content, in accordance with Product Policy, adequate product re-use, Make-or-Buy Strategy, as well as the maturity of the technologies employed and the adequate assignment of Engineering teams;
Challenges the Solution, has a right of audit and can trigger and organize technical reviews accordingly;
Has the right to participate to or even chair the main Solution technical/engineering reviews during the execution of the bid or project;
Validates the technical Risks &amp; Opportunities assessment;
Validates the Solution design by signing the Design Validation (DVa);
Alerts the Division TD  as needed;
</t>
  </si>
  <si>
    <t xml:space="preserve">BID Package (Requirement Compliance Matrix, DVA)
DVA
</t>
  </si>
  <si>
    <t xml:space="preserve">Contribution to: Engineering Dashboard
Contribution to: Project Schedule
Contribution to: R&amp;O Register
DVA
Validation of DDQS Reviews
</t>
  </si>
  <si>
    <t>Solution Configuration Management (SCM)</t>
  </si>
  <si>
    <t>Added. Extracted from WP3.1</t>
  </si>
  <si>
    <t xml:space="preserve">– Ensures that products comply with their requirements and are identified and documented in sufficient details to support the product life cycle,
– Assures accurate product configuration information and enables product interchangeability, safe product operation and maintenance,
– Facilitates orderly identification of product attributes and provides control of product information and product changes used to improve capabilities; correct deficiencies; improve performance, reliability, or maintainability; extend product life; or reduce cost, risk or liability.
</t>
  </si>
  <si>
    <t>Configuration Manager</t>
  </si>
  <si>
    <t>Contract documents, compliance matrix, scope split with partners / customer, original proposal's CM estimates.
WPA
PBS (if available from the bid phase)
Configuration Management Plan</t>
  </si>
  <si>
    <t xml:space="preserve"> * Input to Work Package Agreement
* Configuration Management Plans
* Input to Statement/s of Work
* CM inputs (or review of CM related content) to other plans such as PMP,  SEMP, QAP and etc
* Project associated CM metrics and KPIs
* CMP implementation
* Configuration Identification (solution baselines management in CM tool)
* Participation in CCBs
* Configuration Status Accounting for solution level (examples: As-Delivered Data Management, CM input to Data Packs, SVDD input and etc.)
* Configuration Verification &amp; Audit (FCA &amp; PCA, HW ECNs and FCB CM's reviews)</t>
  </si>
  <si>
    <t>Systems Engineering</t>
  </si>
  <si>
    <t>WP added to group Systems Design, Signalling Design &amp; Network Design</t>
  </si>
  <si>
    <t>3.3.1</t>
  </si>
  <si>
    <t>Systems Design</t>
  </si>
  <si>
    <t xml:space="preserve">• Product System Specification and Design instantiation to the project 
-OCD, functional design and analysis, requirements definition, SSS, SSDD,  ICD, IRS, alarms, parameters, 
-technical support to SW, HW, IVQ, Safety, Site etc. 
</t>
  </si>
  <si>
    <t>System Engineering Manager (SysEM/WPM)</t>
  </si>
  <si>
    <t>SEMP
WPA
Bid Package (Requirement Compliance Matrix, DVA)
Customer specification
Project Schedule
R&amp;O Register
Product model, product SSS, SSDD, CD, IRS, alarms, parameters, product PCRs,</t>
  </si>
  <si>
    <t xml:space="preserve">
OCD, SSSs, SSDDs (SyRS, SyDD, SAS), alarms, parameters, ICDs, IRS. SysDes VDD
Traceability Customer Requirement up to Sub-System level Specification
Contribution to: Engineering Dashboard, Project Schedule, R&amp;O Register</t>
  </si>
  <si>
    <t>3.3.2</t>
  </si>
  <si>
    <t>Signalling Design</t>
  </si>
  <si>
    <t>• Product System Data Design instantiation to the project.
- Defining the System Data Specification based on the System Design Requirements.
- Defining Tool Requirements for tools used in the data design and configuration activities.
- Producing a System Performance Analysis report.
- Produce block designs, control tables, and system data input and export files.</t>
  </si>
  <si>
    <t xml:space="preserve">SEMP
WPA
Bid Package (Requirement Compliance Matrix, DVA)
Product SDS, product B-rules, 
</t>
  </si>
  <si>
    <t>System Data Management Plan, System Data Specification, Safe Braking Model, Track Block Designs, Control Tables, System Performance Analysis, SPSIM software, Data Management Toolset, System Database.
Contribution to: Engineering Dashboard, Project Schedule, R&amp;O Register</t>
  </si>
  <si>
    <t>Software Engineering</t>
  </si>
  <si>
    <t>WP added to group SW workpackages</t>
  </si>
  <si>
    <t>3.4.1</t>
  </si>
  <si>
    <t xml:space="preserve">Vehicle Software </t>
  </si>
  <si>
    <t>• Product Vehicle Software instanciation to the project.
- contribution to SRS/IRS (as part of Sub-System specification)
- full responsability of Sw design, Sw coding,Sw/Sw integration
- contribution to STP/STR (as part of the Sub-System verification)</t>
  </si>
  <si>
    <t>Vehicle Sofware Engineering Manager (SwEM/WPM)</t>
  </si>
  <si>
    <t>SEMP
WPA
Compliance matrix
Build Plan/Schedule
Sub-System level specifcation (SyDD)
System Database (neutral files)
 System Architecture Document</t>
  </si>
  <si>
    <t>SDP (one applicable for all SW)
SRS/IRS (contribution) , SDD/IDD, Code, Unit/Module test, STP/STR (contribution)
Traceability to code / test (as defined in CENELEC)
VDD</t>
  </si>
  <si>
    <t>3.4.2</t>
  </si>
  <si>
    <t xml:space="preserve">Wayside Software </t>
  </si>
  <si>
    <t>• Product Wayside Sofware instanciation to the project.
- contribution to SRS/IRS (as part of Sub-System specification)
- full responsability of Sw design, Sw coding, Sw/Sw integration
- contribution to STP/STR (as part of the Sub-System verification)</t>
  </si>
  <si>
    <t>Wayside Software Engineering Manager (SwEM/WPM)</t>
  </si>
  <si>
    <t>3.4.3</t>
  </si>
  <si>
    <t xml:space="preserve">Central Software </t>
  </si>
  <si>
    <t>Central Software Engineering Manager  (SwEM/WPM)</t>
  </si>
  <si>
    <t>3.4.4</t>
  </si>
  <si>
    <t>Environment Simulator Software (ES)</t>
  </si>
  <si>
    <t>Added</t>
  </si>
  <si>
    <t>• Product Simulator Software instantiation to the project.
- contribution to SRS/IRS (as part of Sub-System specification)
- full responsibility of Sw design, Sw coding, Sw integration
- contribution to STP/STR (as part of the Sub-System verification)</t>
  </si>
  <si>
    <t>Simulator Software Engineering Manager (SwEM/WPM)</t>
  </si>
  <si>
    <t>SEMP
WPA
Compliance Matrix
Build plan /Schedule
Sub-System level specification (SyDD)
System Database (neutral files), IVVQ Test Plan, Lab Requirements.  System Architecture Document</t>
  </si>
  <si>
    <t xml:space="preserve">SDP (one applicable for all SW)
VDD, Simulator User Guide, Sub-System Simulator Requirements, Simulator Software applications utilizing the LDP and ECN process. </t>
  </si>
  <si>
    <t>3.4.5</t>
  </si>
  <si>
    <t>Software Verification</t>
  </si>
  <si>
    <t>Integration &amp; Test of all the software components (Vehicle, Wayside, Central) before transter to the IVVQ team</t>
  </si>
  <si>
    <t>Hardware Engineering</t>
  </si>
  <si>
    <t>Renamed</t>
  </si>
  <si>
    <t>• Product Hardware instantiation to the project (from the Specification to  the Industrialisation and Qualification)
• Cover the 3 domains : Vehicle HW, Wayside/Central (including DCS), and tools HW</t>
  </si>
  <si>
    <t>Hardware Engineering Director</t>
  </si>
  <si>
    <t>SEMP
WPAs (could be 1 to 3 depending of the project complexity)
System level specifcation for Hardware (HW) and Embedded Middleware (MW)</t>
  </si>
  <si>
    <t xml:space="preserve">. WPM documents (inputs to WPA, HEMP, Updated Schedule, HW Risk)
. Design documents (HW and MW Requirements, HW and MW Detailed design, Electronic and Electrical Schematics/FPGA designs, Simulation analysis and FPGA test benches, Qualification test plans and reports, Interfaces Schematic diagrams)
. Industrial documents (BOMs, assembly drawings, FAT procedure, Obsolescence management plan)
</t>
  </si>
  <si>
    <t>3.5.1</t>
  </si>
  <si>
    <t>Vehicle Design</t>
  </si>
  <si>
    <t>Vehicle Product Hardware instantiation to the project (from the Specification to  the Industrialisation and Qualification)</t>
  </si>
  <si>
    <t>Hardware Engineering Manager (HwEM/WPM)</t>
  </si>
  <si>
    <t>3.5.2</t>
  </si>
  <si>
    <t>Wayside / Central Design</t>
  </si>
  <si>
    <t>Wayside/Central (including DCS) Product Hardware instantiation to the project (from the Specification to  the Industrialisation and Qualification)</t>
  </si>
  <si>
    <t>3.5.3</t>
  </si>
  <si>
    <t>Hardware Tools</t>
  </si>
  <si>
    <t>Tools Product Hardware instantiation to the project (from the Specification to  the Industrialisation and Qualification)</t>
  </si>
  <si>
    <t>3.5.4</t>
  </si>
  <si>
    <t>Hardware Compliance</t>
  </si>
  <si>
    <t xml:space="preserve">• Defines Hw IVQ strategy in consistency with that of upper level.
• Tailors Hw I&amp;V environment (process, practices and tools) according to Country/Company and project’s requirements.
• Defines HW IVQ scenarios and guaranties their implementation.
• Coordinates HW IVQ activities, establishes priorities and integration logical diagrams, conducts tests, supports factory and site acceptance as well as commissioning, analyses results and transmits them to development teams.
• The HwIVQM may sometimes cumulate WPM role.
</t>
  </si>
  <si>
    <t xml:space="preserve">HwVER / HwVAL (Hardware Integration Verification Qualification Manager (HwIVQM)
As the HwEM’s delegate manages Hw Integration Verification &amp; Qualification activities
</t>
  </si>
  <si>
    <t>Integration, Test and Verification (ITV)</t>
  </si>
  <si>
    <t>renumbered</t>
  </si>
  <si>
    <t xml:space="preserve">• Sub-System and System Requirement Inhouse verification  
• Inhouse System Operational Test 
• Site Commissioning Procedure Preparation     </t>
  </si>
  <si>
    <t xml:space="preserve">IVVQ Manager or VV Manager  (System and Subsystem VV Manager) </t>
  </si>
  <si>
    <t xml:space="preserve">SEMP
WPA
System and Sub-System specification (SyRS/SyDD or SSS/SRS)
SW executable / VDD
Integrated Test Environment </t>
  </si>
  <si>
    <t>System Verification and Validation Plan (SVVP)
System Test Plan 
System / Sub-System Test Procedures (both inhouse and  Site Procedures)
System / Sub-System Test Reports, FAT Report
SRVM (System Requirement Validation Matrix)
System Acceptance  and Commissiioning Report</t>
  </si>
  <si>
    <t>3.6.1</t>
  </si>
  <si>
    <t>Core CBTC Integration, Test and Verification (ATS/STC/VOBC)</t>
  </si>
  <si>
    <t>Core ITV – Integration, test and verification of each CBTC subsystem and requirement coverage verification. The major subsystems include ATS/SMC ZC/STC/VCC and VOBC</t>
  </si>
  <si>
    <t>3.6.2</t>
  </si>
  <si>
    <t>Specialty Integration, Test and Verification (Specialty ITV) and Tools Engineering</t>
  </si>
  <si>
    <t>Specialty ITV – Integration, test and verification of supporting systems and tools. Supporting systems include DCS/ViewTrac and tools include the environment simulator and SGDG
Tools Engineering – Any tools required internally and externally to support the CBTC solution. Internal tools such as the SGDG (data exports) and external tools to the customer such as ViewTrac, Cab Simulators etc.</t>
  </si>
  <si>
    <t>IVVQ Manager or VV Manager  (System and Subsystem VV Manager) 
Tools SW developers</t>
  </si>
  <si>
    <t>System Verification and Validation Plan (SVVP)
System Test Plan 
System / Sub-System Test Procedures (both inhouse and  Site Procedures)
System / Sub-System Test Reports, FAT Report
SRVM (System Requirement Validation Matrix)
System Acceptance  and Commissiioning Report
Production of customer tools (ViewTrac/Analytics) and internal tools (SGDG/SDM)</t>
  </si>
  <si>
    <t>Product / Platform</t>
  </si>
  <si>
    <t>Product activities and commitment of the Product team towards the Project.</t>
  </si>
  <si>
    <t>Product WPM</t>
  </si>
  <si>
    <t>Dva</t>
  </si>
  <si>
    <t>Product Platform
Product documents</t>
  </si>
  <si>
    <t>3.7.1</t>
  </si>
  <si>
    <t>Product Development</t>
  </si>
  <si>
    <t>Product instantiation to the project (from the Specification to  the Industrialisation and Qualification)</t>
  </si>
  <si>
    <t>3.7.2</t>
  </si>
  <si>
    <t>Platform Development</t>
  </si>
  <si>
    <t>TOP and WP-UR / OC-UR Platform instantiation to the project (from the Specification to  the Industrialisation and Qualification)</t>
  </si>
  <si>
    <t>Data Communication Systems</t>
  </si>
  <si>
    <t>Please refer to WP4 for details.
WP4 to become WP3.9 if:
- total WP hours are &lt; 5% total project hours
- total WP hours are &lt;10% Engineering hours
- there are no develiverables visible to the Customer.</t>
  </si>
  <si>
    <t>Cyber IT / DCS / Network / Tools Design</t>
  </si>
  <si>
    <t>4.1.1</t>
  </si>
  <si>
    <t>Cyber Design</t>
  </si>
  <si>
    <t>4.1</t>
  </si>
  <si>
    <t>Split in 2 subWP from 4.1.1 Cyber and IT Engineering</t>
  </si>
  <si>
    <r>
      <t xml:space="preserve">Cybersecurity  provides specialized domain knowledge on cybyersecurity engineering and assist system and other engineers develop and incorporate security design and functions into their solutions.
Specific domain knowledge incluces cryptography, network zoning, intrusion detection, applicaiton security, security design partterns </t>
    </r>
    <r>
      <rPr>
        <sz val="10"/>
        <color rgb="FFFF0000"/>
        <rFont val="Arial"/>
        <family val="2"/>
      </rPr>
      <t>and all related matters to securing the CBTC solution. Examples include: Firewall configuration, Sign-on/password management, Security device configuration, security policy application etc.</t>
    </r>
  </si>
  <si>
    <t>Cyber Security Manager</t>
  </si>
  <si>
    <t>Security Requirements
Security Standards
Cybersecurity Risk Assessment</t>
  </si>
  <si>
    <t>Cybersecurity Management Plan
Cybersecurity Risk Assessment
Cybersecurity Technical Vulnerability Assessment Plan
Technical Vulnerability Assessment and Penetration Testing
Site Security Acceptance Testing Plan
Site Security Testing Report
Cybersecurity Design and Architecture
Cybersecurity Solution (Software and Hardware)</t>
  </si>
  <si>
    <t>IEC 62443 Framework
NIST SP Series</t>
  </si>
  <si>
    <t>4.1.2</t>
  </si>
  <si>
    <t>IT Design</t>
  </si>
  <si>
    <t>IT engineering provides IT Architecture which spec ifies Policies, Principles, Services, Standards and Guidelines and the products (Server/Middleware/Client) for CBTC Applications, CyberSecurity Applications.</t>
  </si>
  <si>
    <t>Security Requirements
Security Standards
Cybersecurity Risk Assessment
CBTC Application Requirements</t>
  </si>
  <si>
    <t>4,1.3</t>
  </si>
  <si>
    <t>DCS Product Platform and Tool Design</t>
  </si>
  <si>
    <t>Renamed from 4.1.4 Tools Design</t>
  </si>
  <si>
    <t>It Provides Complete Generic Product Solutions to be used by the projects to support Reliable, High Available and low latency cyber-secured communication platyform for CBTC Applications. 
The solution  will include In-House SW/COTS HW/SW. 
Also It designsand delivers the tools required for in-house use and/or field use for Testing , Monitoring, Debugging and Automation of the tasxks.
It is also responsible for the product sustaining and maintence tasks for the legacy solutions.</t>
  </si>
  <si>
    <t>Product SEM/WPM</t>
  </si>
  <si>
    <t>CBTC Application Requirements
Product Requirements - Cyber/IT/Networking
Project Requirements - NRCs</t>
  </si>
  <si>
    <t xml:space="preserve">Product DCS SRS
DCS Platform RS
DCS Platform Network &amp; IT Infrastructure Design
DCS Platform Application Guide
</t>
  </si>
  <si>
    <t>4.1.4</t>
  </si>
  <si>
    <t>Communications and Network Design</t>
  </si>
  <si>
    <t>Merged into 1 subWP from 4.1.2 Communications Engineering &amp; 4.1.3 Network Design</t>
  </si>
  <si>
    <t xml:space="preserve"> Project instantiation of the DCS product design, with project-specific functions, as applicable. Activities include DCS subsystem requirements analysis, design specification and development, as well as participation in the Integrated Design Team (IDT) at the system level. Deployment definition (plan of RF surveying, initial RF coverage estimation) as well as general design support throughout the project lifecycle are also included. Communications Engineering – all related matters to the infrastructure that carries the messages to enable communications between subsystems. Examples include: Software Define Radio Adaptation, Wired network configuration, Network Management System Adaptation, Remote SW download etc.</t>
  </si>
  <si>
    <t>System Engineering Manager  (SysEM/WPM)</t>
  </si>
  <si>
    <t xml:space="preserve">Product SSS
Product DCS SRS
DCS Platform RS
DCS Platform Network &amp; IT Infrastructure Design
DCS Platform Application Guide
Project Customer Specifications
Project SSS
Project DCS SRS
Project data (civil drawings, train layout, etc.)
Project SEMP
</t>
  </si>
  <si>
    <t xml:space="preserve">Requirements coverage from DCS SRS
Project DCS Network &amp; IT Infrastructure Design
Project DCS RF Survey Plan
Project DCS RF Survey Report (initial estimation only)
Project DCS Network &amp; IT Infrastructure Configurations
Contribution to: Engineering Dashboard, Project Schedule, R&amp;O Register
</t>
  </si>
  <si>
    <t>DCS Test and Verification</t>
  </si>
  <si>
    <t>4.2.1</t>
  </si>
  <si>
    <t>DCS Integration, Test and Verification (DCS ITV)</t>
  </si>
  <si>
    <t>Specialty ITV – Integration, test and verification of supporting systems and tools. Supporting systems and tools include DCS/ and tools include Viewtrack, NMS, NIDS</t>
  </si>
  <si>
    <t>Cyber Security Assurance</t>
  </si>
  <si>
    <t>4.3.1</t>
  </si>
  <si>
    <t>Reviews and approves cybersecurity product or solution deliverables</t>
  </si>
  <si>
    <t>Cyber Security Assurance Manager</t>
  </si>
  <si>
    <t>Approval of Cybersecurity / IT Engineering outputs</t>
  </si>
  <si>
    <t xml:space="preserve">Solutions Deployment </t>
  </si>
  <si>
    <t>Deployment Project Management</t>
  </si>
  <si>
    <t>• Resource planning, KPIs, Dashboard reviews and management
• Scheduling &amp; Monitoring of the Deployment activities
• Site Configuration Management
5.1.1 DPM Management
5.1.2 Planner (PCM) 
5.1.3 Site Configuration Management 
5.1.4 Local Subcon Management
5.1.5 Site Quality</t>
  </si>
  <si>
    <t>Deployment Project Manager (DPM)</t>
  </si>
  <si>
    <t>Site Quality</t>
  </si>
  <si>
    <t>SDS Dashboard, WW resource database, R&amp;O Register
Project Schedules, milestones, LFR, Budget, As designed &amp; As built configurations
Site CM database (As-installed, As-Maintained), Report status of As-Installed Configuration to a project safety engineer.
Resolve Site CM issues in cooperation with Site Deployment team, Communicate CM issues related to a PM and Project CM.</t>
  </si>
  <si>
    <t>Installation Design</t>
  </si>
  <si>
    <t>Removed reference of Sys Ops / architecture / GDG Data</t>
  </si>
  <si>
    <t>• HW and application design
• Surveys, application design &amp; application configuration
• Designers providing support with either site travels or through usage of TARA / phone / email for all of 5.2
• DCS &amp; Cyber Configuration</t>
  </si>
  <si>
    <t>SID WPM</t>
  </si>
  <si>
    <t>Systems requirements
Product design
ICD documents</t>
  </si>
  <si>
    <t xml:space="preserve">I/O bit map
Application / layouts / Interconnection drawings
HW application reqmts verification
Project BOMS, PBS, Bids, PICO, PPR, SOW </t>
  </si>
  <si>
    <t>Number of CDRL documents delivered vs planned
nbr of gates passed vs planned</t>
  </si>
  <si>
    <t>Warehouse &amp; Logistic</t>
  </si>
  <si>
    <t>Covers the freight cost from Customs (port/Airport/point of entry) to Customer site.</t>
  </si>
  <si>
    <t>BOQ</t>
  </si>
  <si>
    <t>Installation</t>
  </si>
  <si>
    <t>Cost collector for installation activities within the equipment room, the wayside, the OCC &amp; BOCC central equipment room and the vehicle excluding Engineering’s initial delivery of 2 Gold Std stock</t>
  </si>
  <si>
    <t>Site Installation Manager</t>
  </si>
  <si>
    <t>Acceptance by Customer</t>
  </si>
  <si>
    <t>Test &amp; Commissioning</t>
  </si>
  <si>
    <t>• Debugging activities effort captured in the subsystem elements 
• Final roll out test and customer in-service activities
• DCS &amp; Cyber Deployment</t>
  </si>
  <si>
    <t>Site Deployment Manager</t>
  </si>
  <si>
    <t>Site System Integration Procedures
SW (informal/formal)
Field Test Readiness Review passed
SAT Procedures
As-Designed and As-Build Configurations</t>
  </si>
  <si>
    <t>System Integrated and functional
PICO Testing/Report
Test Track functional
SAT Certificates 
Cutover / Operation Trial completed</t>
  </si>
  <si>
    <t>Decommissioning</t>
  </si>
  <si>
    <t xml:space="preserve">Removal &amp; disposal of existing hardware </t>
  </si>
  <si>
    <t>HSE</t>
  </si>
  <si>
    <t>Management of Health, Safety &amp; Environment (HSE) issues including the definition of HSE standards, the training of site personnel and the audit of subcontractors &amp; personnel to ensure that Hitachi Rail GTS Canada HSE standards are being applied.</t>
  </si>
  <si>
    <t>HSE Manager</t>
  </si>
  <si>
    <t>Customer Contract for HSE requirements
Local regulation</t>
  </si>
  <si>
    <t>HSE plans and procedures 
Training Plan
HSE awareness trainings for onsite staff
User Guides
Training Course Guides
Training Courses delivery
HSE audits and inspections Reports
Accident / Incident Assessments and reports</t>
  </si>
  <si>
    <t>Track and Civil Works</t>
  </si>
  <si>
    <t>In case construction/civil works, activities usually outside of URS scope of work, are required on the project.</t>
  </si>
  <si>
    <t>Customer Contract
Local regulation</t>
  </si>
  <si>
    <t>Training Delivery</t>
  </si>
  <si>
    <t>moved from 5.1</t>
  </si>
  <si>
    <t>• Training Customers Internal &amp; External</t>
  </si>
  <si>
    <t>Training requirements</t>
  </si>
  <si>
    <t>SPI / CPI</t>
  </si>
  <si>
    <t>Service Delivery</t>
  </si>
  <si>
    <t xml:space="preserve">Warranty Support </t>
  </si>
  <si>
    <t>• All repairs and replacements during the warranty period.
• All software debugging during warranty period
• Technical assistance (if applicable)</t>
  </si>
  <si>
    <t>Service Delivery Manager (SDM)</t>
  </si>
  <si>
    <t>Customer Contract for Services
Project Close-out Issues (Punch List)
Requests for support from customer
RAM Analysis for (LCC)</t>
  </si>
  <si>
    <t>Repairs &amp; Replacements
Technical Assistance</t>
  </si>
  <si>
    <t>Life Cycle Support</t>
  </si>
  <si>
    <t>• Maintenance Plan preparation and submission
. Service Definition Document (SDD) if applicable.
. Obsolescence Maintenance Plan (OMP) if applicable</t>
  </si>
  <si>
    <t>Customer Contract for Services (Post Warranty)
RAM analysis for (LCC)</t>
  </si>
  <si>
    <t>Maintenance plan
SDD (if applicable)
OMP (if applicable)</t>
  </si>
  <si>
    <t>Other Services</t>
  </si>
  <si>
    <t xml:space="preserve">• Preparation and submission of value-added Services package such as:
- Health monitoring Services
- Viewtrac Data collection
- Condition based / predictive maintenance
- ……
</t>
  </si>
  <si>
    <t xml:space="preserve">WBS Instructions      </t>
  </si>
  <si>
    <t>GTS MS 2.0 reference documents name</t>
  </si>
  <si>
    <t>Process #</t>
  </si>
  <si>
    <t>GTS MS 2.0  Reference #</t>
  </si>
  <si>
    <t>TCTS WBS</t>
  </si>
  <si>
    <t xml:space="preserve">  TCTS WBS.1</t>
  </si>
  <si>
    <t>Manage Project CAN Procedure</t>
  </si>
  <si>
    <t>87200984-PRJ-GRP-EN</t>
  </si>
  <si>
    <t>Comments</t>
  </si>
  <si>
    <t xml:space="preserve">    TCTS WBS.1.1</t>
  </si>
  <si>
    <t>Including PMO activities, NTR management</t>
  </si>
  <si>
    <t>Available on GTS MS Processes -&gt; 5.2 PRJ -&gt; Print</t>
  </si>
  <si>
    <t xml:space="preserve">    TCTS WBS.1.2</t>
  </si>
  <si>
    <t>Cost Control Management</t>
  </si>
  <si>
    <t>Cost Control activities</t>
  </si>
  <si>
    <t xml:space="preserve">    TCTS WBS.1.3</t>
  </si>
  <si>
    <t>Contract Management activities</t>
  </si>
  <si>
    <t>Guide to contract Management
Manage a contract (Procedure)</t>
  </si>
  <si>
    <r>
      <t xml:space="preserve">87208528-LEG-GRP-EN
</t>
    </r>
    <r>
      <rPr>
        <sz val="11"/>
        <rFont val="Calibri"/>
        <family val="2"/>
      </rPr>
      <t>87201396-LEG-GRP-EN</t>
    </r>
  </si>
  <si>
    <t xml:space="preserve">    TCTS WBS.1.4</t>
  </si>
  <si>
    <t>Labor at this level, material is handled at subsystem level</t>
  </si>
  <si>
    <t>Manage Acquisition CAN</t>
  </si>
  <si>
    <t>87201314-ACQ-GRP-EN</t>
  </si>
  <si>
    <t>Available on GTS MS Processes -&gt; 7.1a ACQ -&gt; Print</t>
  </si>
  <si>
    <t xml:space="preserve">    TCTS WBS.1.5</t>
  </si>
  <si>
    <t>Quality Assurance Plan for an individual project</t>
  </si>
  <si>
    <t>Quality Assurance Plan</t>
  </si>
  <si>
    <t>87211389-QCI-GRP-EN</t>
  </si>
  <si>
    <t xml:space="preserve">    TCTS WBS.1.6</t>
  </si>
  <si>
    <t>-Activities related to any document to be ECN'd and drawings and SW archiving</t>
  </si>
  <si>
    <t>Publication and Data Records Implementation Guideline</t>
  </si>
  <si>
    <t>83410362-DOC-CAN-EN</t>
  </si>
  <si>
    <t xml:space="preserve">  TCTS WBS.2</t>
  </si>
  <si>
    <t xml:space="preserve">    TCTS WBS.2.1</t>
  </si>
  <si>
    <t xml:space="preserve">WPM activities
- Safety Planning
- Safety Management and Supervision 
All Safety Engineering activities performed at any stage and level of the project
- Hazard Analyses
- Hazard Management
- Safety Analyses
- Safety Case </t>
  </si>
  <si>
    <t>Manage a Work Package 
-Safety Management Instruction
- Safety Planning Guideline
Safety Instruction
- Hazard Management
- Identify and Analyze Hazards Process
- Safety Case and Safety Approval Guideline
- Safe Operating Requirements &amp; Safety Application Conditions Guideline
- Specific Hazard and Safety Analysis</t>
  </si>
  <si>
    <t>5.2
6.1
4.1</t>
  </si>
  <si>
    <r>
      <t xml:space="preserve">87201255-PRJ-GRP-EN
</t>
    </r>
    <r>
      <rPr>
        <sz val="11"/>
        <rFont val="Calibri"/>
        <family val="2"/>
      </rPr>
      <t>87204905-DDQ-GRP-EN
83410196-QCI-CAN-EN
83410224-QCI-CAN-EN
87204905-DDQ-GRP-EN
83410228-QCI-CAN-EN
83410226-QCI-CAN-EN
83410233-QCI-CAN-EN
83410234-QCI-CAN-EN
83410231-QCI-CAN-EN</t>
    </r>
  </si>
  <si>
    <t xml:space="preserve">    TCTS WBS.2.2</t>
  </si>
  <si>
    <t>All Safety Assurance activities performed at any stage and level of the project</t>
  </si>
  <si>
    <t>Safety Assurance
Safety Management (Transportation specific)
Systems Integration, Verification, Validation and  Qualification Lifecycle Process Description</t>
  </si>
  <si>
    <t>87211146-QCI-GRP-EN
83410196-QCI-CAN-EN
83410305-DDQ-CAN-EN</t>
  </si>
  <si>
    <t xml:space="preserve">    TCTS WBS.2.3</t>
  </si>
  <si>
    <t>RAMT</t>
  </si>
  <si>
    <t>Activities related to the Specification and Demonstration of Dependability, Reliability, Availability, Maintainability and Safety (RAMS)</t>
  </si>
  <si>
    <t>RAM Management
Guideline for RAM Planning</t>
  </si>
  <si>
    <t>83410195-DDQ-CAN-EN
83410350-SER-CAN-EN</t>
  </si>
  <si>
    <t xml:space="preserve">    TCTS WBS.2.4</t>
  </si>
  <si>
    <t>Activities related to the Independent Validation of the solution</t>
  </si>
  <si>
    <t>Independent Validation Governance Instruction</t>
  </si>
  <si>
    <t>4.1
6.1</t>
  </si>
  <si>
    <t>83410894-QCI-CAN-EN</t>
  </si>
  <si>
    <t>Reference is (pending)  governance instruction</t>
  </si>
  <si>
    <t xml:space="preserve">  TCTS WBS.3</t>
  </si>
  <si>
    <t xml:space="preserve">    TCTS WBS.3.1</t>
  </si>
  <si>
    <t>Project Engineering Management</t>
  </si>
  <si>
    <t>Manage a Work Package</t>
  </si>
  <si>
    <t>87201255-PRJ-GRP-EN</t>
  </si>
  <si>
    <t xml:space="preserve">    TCTS WBS.3.2</t>
  </si>
  <si>
    <t>Solution Configuration Management</t>
  </si>
  <si>
    <t xml:space="preserve">    TCTS WBS.3.3</t>
  </si>
  <si>
    <t>Solution design activities (specification, system architecture, operational concepts)</t>
  </si>
  <si>
    <t>Manage a Work Package
Engineering reviews instruction
Instruction for producing a Design &amp; Justification File (D&amp;JF)</t>
  </si>
  <si>
    <t>5.2
6.1
6.1</t>
  </si>
  <si>
    <t>87201255-PRJ-GRP-EN
87201334-DDQ-GRP-EN
87201508-DDQ-GRP-EN</t>
  </si>
  <si>
    <t xml:space="preserve">    TCTS WBS.3.4</t>
  </si>
  <si>
    <t>Gathers all  SW Subsystem development activities according to DDQS, including cost collector for material procurement</t>
  </si>
  <si>
    <t xml:space="preserve">    TCTS WBS.3.5</t>
  </si>
  <si>
    <t xml:space="preserve"> Hardware Work Package                                                                                                                                                                                                                                                             Includes Vehicle/Wayside &amp; Central HW                                                                                                                                                                                                             Gathers all Hardware development activities according to DDQS
                                                                                                                                                                                                                                                               </t>
  </si>
  <si>
    <t xml:space="preserve">    TCTS WBS.3.6</t>
  </si>
  <si>
    <t>Integration, Test and Verification</t>
  </si>
  <si>
    <t>ITV  is about verification, validation &amp; qualification activities performed at System level - All subsytem ITV activities are in the subsystem work packages.</t>
  </si>
  <si>
    <t>Manage a Work Package
Engineering reviews instruction
Instruction for producing a Design &amp; Justification File (D&amp;JF)
Systems Integration, Verification, Validation and Qualification Handbook</t>
  </si>
  <si>
    <t>5.2
6.1
6.1
6.1</t>
  </si>
  <si>
    <t>87201255-PRJ-GRP-EN
87201334-DDQ-GRP-EN
87201508-DDQ-GRP-EN
83410345-DDQ-CAN-EN</t>
  </si>
  <si>
    <t xml:space="preserve">    TCTS WBS.3.7</t>
  </si>
  <si>
    <t>Platform &amp; Product activities and commitment of the Product team towards the Project.</t>
  </si>
  <si>
    <t xml:space="preserve">  TCTS WBS.4</t>
  </si>
  <si>
    <t xml:space="preserve">    TCTS WBS.4.1</t>
  </si>
  <si>
    <t>specialized domain knowledge on cybyersecurity engineering and assist system and other engineers develop and incorporate security design and functions into their solutions.</t>
  </si>
  <si>
    <t>URS Cybersecurity Instruction</t>
  </si>
  <si>
    <t>83410893-GOV-CAN-EN</t>
  </si>
  <si>
    <t xml:space="preserve">    TCTS WBS.4.2</t>
  </si>
  <si>
    <t xml:space="preserve">    TCTS WBS.4.3</t>
  </si>
  <si>
    <t xml:space="preserve">Provides domain knowledge for conducting cybersecurity risk assessment, technical vulnerability assessment and penetration testing, security site acceptance testing </t>
  </si>
  <si>
    <t xml:space="preserve">  TCTS WBS.5</t>
  </si>
  <si>
    <t>Site Deployment Handbook</t>
  </si>
  <si>
    <t>83410470-DDQ-CAN-EN</t>
  </si>
  <si>
    <t xml:space="preserve">    TCTS WBS.5.1</t>
  </si>
  <si>
    <t>-WPM activities
-Produce Operations &amp; Maintenance Manuals
Anything related to customer training
-Activities related to any document to be ECN'd and drawings and SW archiving</t>
  </si>
  <si>
    <t>Manage a Work Package 
Site Deployment Handbook
Guideline</t>
  </si>
  <si>
    <t xml:space="preserve">    TCTS WBS.5.2</t>
  </si>
  <si>
    <t>WPM activities</t>
  </si>
  <si>
    <t xml:space="preserve">Manage a Work Package </t>
  </si>
  <si>
    <t xml:space="preserve">    TCTS WBS.5.3</t>
  </si>
  <si>
    <t xml:space="preserve">    TCTS WBS.5.4</t>
  </si>
  <si>
    <t>All Wayside, Central &amp; vehicle installation activities, including surveys, subcontractors management</t>
  </si>
  <si>
    <t>Site Deployment Handbook
Acceptance Review Description</t>
  </si>
  <si>
    <t>8.1
5.2</t>
  </si>
  <si>
    <t>83410470-SER-CAN-EN
87202030-PRJ-GRP-EN</t>
  </si>
  <si>
    <t xml:space="preserve">    TCTS WBS.5.5</t>
  </si>
  <si>
    <t>All Vehicle SPICO &amp; SAT &amp; commissionning activities, subbcontractors management, DPICO &amp; SAT &amp; commissionning, ..</t>
  </si>
  <si>
    <t xml:space="preserve">    TCTS WBS.5.6</t>
  </si>
  <si>
    <t>Decomissioning</t>
  </si>
  <si>
    <t xml:space="preserve">    TCTS WBS.5.7</t>
  </si>
  <si>
    <t>All Health, Safety &amp; Environment activities</t>
  </si>
  <si>
    <t>Project/Product HSE plan
HSE Management System Guide (Sites &amp; Operations)</t>
  </si>
  <si>
    <t>87204117-HSE-GRP-EN
87200107-HSE-GRP-EN</t>
  </si>
  <si>
    <t xml:space="preserve">    TCTS WBS.5.8</t>
  </si>
  <si>
    <t xml:space="preserve">    TCTS WBS.5.9</t>
  </si>
  <si>
    <t xml:space="preserve">-Produce Operations &amp; Maintenance Manuals
Anything related to customer training
</t>
  </si>
  <si>
    <t xml:space="preserve">
Manage a Work Package 
Produce Customer Documentation 
Provide Customer training
</t>
  </si>
  <si>
    <t>5.2
8.1
8.1</t>
  </si>
  <si>
    <t>87201423-SER-GRP-EN
87201424-SER-CAN-EN
83410362-DOC-CAN-EN</t>
  </si>
  <si>
    <t>Available on GTS MS Processes -&gt;8.1 SER -&gt; Produce Customer Documentation -&gt; Print
Available on GTS MS Processes -&gt;8.1 SER -&gt; Provide Customer training -&gt; Print</t>
  </si>
  <si>
    <t xml:space="preserve">  TCTS WBS.6</t>
  </si>
  <si>
    <t>Prepare and Deliver Customer Service CAN</t>
  </si>
  <si>
    <t>87201420-SER-GRP-EN</t>
  </si>
  <si>
    <t>Available on GTS MS Processes -&gt; 8.1 SER -&gt; Print</t>
  </si>
  <si>
    <t xml:space="preserve">    TCTS WBS.6.1</t>
  </si>
  <si>
    <t>Test &amp; Commissioning Support</t>
  </si>
  <si>
    <t>87201255-PRJ-GRP-EN
83410470-SER- CAN-EN</t>
  </si>
  <si>
    <t xml:space="preserve">    TCTS WBS.6.2</t>
  </si>
  <si>
    <t>Activities related to provision of warranty  services</t>
  </si>
  <si>
    <t>Manage a Work Package 
Monitor availability and continuity of service
Service Management Plan</t>
  </si>
  <si>
    <t>87201255-PRJ-GRP-EN
87201436-SER-GRP-EN
87208266-SER-GRP-EN</t>
  </si>
  <si>
    <t xml:space="preserve">    TCTS WBS.6.3</t>
  </si>
  <si>
    <t>- Repair Management
- Spare Parts Management
- Service Engineering Management
- Obsolescence Management</t>
  </si>
  <si>
    <t>Manage a Work Package 
Repair equipment or systems
Manage spares, consumables, materials 
Service Management Plan 
Guide for Obsolescence Management Plans</t>
  </si>
  <si>
    <t>5.2
8.1
8.1
8.1
8.1</t>
  </si>
  <si>
    <t>87201255-PRJ-GRP-EN
87201428-SER-GRP-EN
87201430-SER-GRP-EN
87208266-SER-GRP-EN
83410348-SER-CAN-EN</t>
  </si>
  <si>
    <t>Available on GTS MS Processes -&gt;8.1 SER -&gt; Repair equipment or systems -&gt; Print
Available on GTS MS Processes -&gt;8.1 SER -&gt; Manage spares, consumables, materials -&gt; Print</t>
  </si>
  <si>
    <t>Generic OBS for URS Projects</t>
  </si>
  <si>
    <t>Generic CBS for URS Projects</t>
  </si>
  <si>
    <t>Generic RACI Matrix for URS Projects</t>
  </si>
  <si>
    <t>Publications &amp; Archives</t>
  </si>
  <si>
    <t>Project Engineering Mgt</t>
  </si>
  <si>
    <t>Solution CM</t>
  </si>
  <si>
    <t>Infrastructure Design</t>
  </si>
  <si>
    <t>Test &amp; Comissioning</t>
  </si>
  <si>
    <t>Project Manager</t>
  </si>
  <si>
    <t>A/R</t>
  </si>
  <si>
    <t>A</t>
  </si>
  <si>
    <t>I</t>
  </si>
  <si>
    <t>I (WP3) / A (WP4)</t>
  </si>
  <si>
    <t>Project Office Manager</t>
  </si>
  <si>
    <t>R</t>
  </si>
  <si>
    <t>C</t>
  </si>
  <si>
    <t>Data Manager</t>
  </si>
  <si>
    <t>Administrative Assistant</t>
  </si>
  <si>
    <t>Project Planner</t>
  </si>
  <si>
    <t>Risk &amp; Opportunity Manager</t>
  </si>
  <si>
    <t>Project Financial Controller</t>
  </si>
  <si>
    <t>Quality Assurance Manager</t>
  </si>
  <si>
    <t>Project Configuration Manager</t>
  </si>
  <si>
    <t>Project Safety Manager</t>
  </si>
  <si>
    <t>RAM Lead</t>
  </si>
  <si>
    <t>Localized Safety Manager</t>
  </si>
  <si>
    <t>Safety Authority</t>
  </si>
  <si>
    <t>Independent SW Assessor</t>
  </si>
  <si>
    <t>Independent Safety Assessor</t>
  </si>
  <si>
    <t>Cyber Security Authority</t>
  </si>
  <si>
    <t>Project Cybersecurity Manager (PCM)</t>
  </si>
  <si>
    <t>Chief Engineering Architect</t>
  </si>
  <si>
    <t>I (WP4) / A (WP3)</t>
  </si>
  <si>
    <t>Solution Engineering Manager</t>
  </si>
  <si>
    <t>Solution Engineering Manager Product/Platform</t>
  </si>
  <si>
    <t>System WPM</t>
  </si>
  <si>
    <t>Data Communication Systems Manager</t>
  </si>
  <si>
    <t>Architect</t>
  </si>
  <si>
    <t>System Engineers</t>
  </si>
  <si>
    <t>Project Design Authority</t>
  </si>
  <si>
    <t>Project Design Authority Product/Platform</t>
  </si>
  <si>
    <t>HW Engineering Manager</t>
  </si>
  <si>
    <t>HW Architect</t>
  </si>
  <si>
    <t>HW Engineers</t>
  </si>
  <si>
    <t>HW CM Controller</t>
  </si>
  <si>
    <t>SW Engineering Manager</t>
  </si>
  <si>
    <t>SW Architect</t>
  </si>
  <si>
    <t>SW Engineers</t>
  </si>
  <si>
    <t>SW CM Controller</t>
  </si>
  <si>
    <t>IVVQ Manager</t>
  </si>
  <si>
    <t>HW IVQ Manager</t>
  </si>
  <si>
    <t>SW IV Manager</t>
  </si>
  <si>
    <t>Deployment Project Manager</t>
  </si>
  <si>
    <t>Site Deployment Lead</t>
  </si>
  <si>
    <t>Site Configuration Manager</t>
  </si>
  <si>
    <t>C/R</t>
  </si>
  <si>
    <t>Subcontractor Manager</t>
  </si>
  <si>
    <t>Training</t>
  </si>
  <si>
    <t>Lifecycle Support</t>
  </si>
  <si>
    <t>Integrated Logistics Support</t>
  </si>
  <si>
    <t>(R)esponsible : Person in charge to perform a task</t>
  </si>
  <si>
    <t>(A)ccountable : Person (sole) in charge of the FINAL decision</t>
  </si>
  <si>
    <t>(C)onsulted : Person to be consulted  upstream (to validate a part)</t>
  </si>
  <si>
    <t>(I)nformed : Person to inform downstream</t>
  </si>
  <si>
    <r>
      <t>Comments</t>
    </r>
    <r>
      <rPr>
        <i/>
        <sz val="8"/>
        <rFont val="Arial"/>
        <family val="2"/>
      </rPr>
      <t xml:space="preserve">: </t>
    </r>
  </si>
  <si>
    <t>1- This matrix is an example and it must be adapted to the concerned project. Some roles can be added or removed as needed.</t>
  </si>
  <si>
    <t>2- The identified project roles identified in the RAM, WBS and OBS should be explicit and identical in all the 3 documents.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</si>
</sst>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d\-mmm\-yy;@"/>
  </numFmts>
  <fonts count="26">
    <font>
      <sz val="10"/>
      <name val="Arial"/>
    </font>
    <font>
      <sz val="10"/>
      <name val="Arial"/>
      <family val="2"/>
    </font>
    <font>
      <b/>
      <sz val="10"/>
      <name val="Arial"/>
      <family val="2"/>
    </font>
    <font>
      <b/>
      <sz val="10"/>
      <color indexed="18"/>
      <name val="Arial"/>
      <family val="2"/>
    </font>
    <font>
      <sz val="8"/>
      <name val="Arial"/>
      <family val="2"/>
    </font>
    <font>
      <b/>
      <sz val="9"/>
      <color indexed="60"/>
      <name val="Arial"/>
      <family val="2"/>
    </font>
    <font>
      <sz val="9"/>
      <color indexed="23"/>
      <name val="Arial"/>
      <family val="2"/>
    </font>
    <font>
      <b/>
      <sz val="9"/>
      <name val="Arial"/>
      <family val="2"/>
    </font>
    <font>
      <sz val="7"/>
      <color indexed="12"/>
      <name val="Arial"/>
      <family val="2"/>
    </font>
    <font>
      <b/>
      <sz val="14"/>
      <name val="Arial"/>
      <family val="2"/>
    </font>
    <font>
      <sz val="10"/>
      <color rgb="FFFF0000"/>
      <name val="Arial"/>
      <family val="2"/>
    </font>
    <font>
      <b/>
      <sz val="11"/>
      <name val="Calibri"/>
      <family val="2"/>
      <scheme val="minor"/>
    </font>
    <font>
      <b/>
      <sz val="9"/>
      <color indexed="81"/>
      <name val="Tahoma"/>
      <family val="2"/>
    </font>
    <font>
      <sz val="9"/>
      <color indexed="81"/>
      <name val="Tahoma"/>
      <family val="2"/>
    </font>
    <font>
      <b/>
      <sz val="14"/>
      <name val="Calibri"/>
      <family val="2"/>
      <scheme val="minor"/>
    </font>
    <font>
      <b/>
      <sz val="12"/>
      <name val="Calibri"/>
      <family val="2"/>
      <scheme val="minor"/>
    </font>
    <font>
      <sz val="11"/>
      <name val="Calibri"/>
      <family val="2"/>
      <scheme val="minor"/>
    </font>
    <font>
      <sz val="11"/>
      <name val="Calibri"/>
      <family val="2"/>
    </font>
    <font>
      <b/>
      <i/>
      <sz val="10"/>
      <name val="Arial"/>
      <family val="2"/>
    </font>
    <font>
      <i/>
      <u/>
      <sz val="8"/>
      <name val="Arial"/>
      <family val="2"/>
    </font>
    <font>
      <i/>
      <sz val="8"/>
      <name val="Arial"/>
      <family val="2"/>
    </font>
    <font>
      <sz val="16"/>
      <color theme="0"/>
      <name val="Arial"/>
      <family val="2"/>
    </font>
    <font>
      <b/>
      <sz val="10"/>
      <color theme="0"/>
      <name val="Arial"/>
      <family val="2"/>
    </font>
    <font>
      <sz val="10.5"/>
      <color theme="6" tint="-0.249977111117893"/>
      <name val="Arial"/>
      <family val="2"/>
    </font>
    <font>
      <sz val="7"/>
      <name val="Arial"/>
      <family val="2"/>
    </font>
    <font>
      <sz val="11"/>
      <color rgb="FF242424"/>
      <name val="Aptos Narrow"/>
      <charset val="1"/>
    </font>
  </fonts>
  <fills count="13">
    <fill>
      <patternFill patternType="none"/>
    </fill>
    <fill>
      <patternFill patternType="gray125"/>
    </fill>
    <fill>
      <patternFill patternType="solid">
        <fgColor indexed="9"/>
        <bgColor indexed="64"/>
      </patternFill>
    </fill>
    <fill>
      <patternFill patternType="solid">
        <fgColor theme="3" tint="0.79998168889431442"/>
        <bgColor indexed="64"/>
      </patternFill>
    </fill>
    <fill>
      <patternFill patternType="solid">
        <fgColor theme="4" tint="0.79998168889431442"/>
        <bgColor indexed="64"/>
      </patternFill>
    </fill>
    <fill>
      <patternFill patternType="solid">
        <fgColor theme="9" tint="0.59999389629810485"/>
        <bgColor indexed="64"/>
      </patternFill>
    </fill>
    <fill>
      <patternFill patternType="solid">
        <fgColor theme="6" tint="0.59999389629810485"/>
        <bgColor indexed="64"/>
      </patternFill>
    </fill>
    <fill>
      <patternFill patternType="solid">
        <fgColor theme="3" tint="0.59999389629810485"/>
        <bgColor indexed="64"/>
      </patternFill>
    </fill>
    <fill>
      <patternFill patternType="solid">
        <fgColor indexed="57"/>
        <bgColor indexed="64"/>
      </patternFill>
    </fill>
    <fill>
      <patternFill patternType="solid">
        <fgColor indexed="50"/>
        <bgColor indexed="64"/>
      </patternFill>
    </fill>
    <fill>
      <patternFill patternType="solid">
        <fgColor indexed="43"/>
        <bgColor indexed="64"/>
      </patternFill>
    </fill>
    <fill>
      <patternFill patternType="solid">
        <fgColor theme="1"/>
        <bgColor indexed="64"/>
      </patternFill>
    </fill>
    <fill>
      <patternFill patternType="solid">
        <fgColor theme="0"/>
        <bgColor indexed="64"/>
      </patternFill>
    </fill>
  </fills>
  <borders count="25">
    <border>
      <left/>
      <right/>
      <top/>
      <bottom/>
      <diagonal/>
    </border>
    <border>
      <left style="thin">
        <color indexed="9"/>
      </left>
      <right style="thin">
        <color indexed="9"/>
      </right>
      <top style="thin">
        <color indexed="9"/>
      </top>
      <bottom style="thin">
        <color indexed="9"/>
      </bottom>
      <diagonal/>
    </border>
    <border>
      <left style="thin">
        <color indexed="9"/>
      </left>
      <right/>
      <top style="thin">
        <color indexed="9"/>
      </top>
      <bottom style="thin">
        <color indexed="9"/>
      </bottom>
      <diagonal/>
    </border>
    <border>
      <left/>
      <right style="thin">
        <color indexed="9"/>
      </right>
      <top style="thin">
        <color indexed="9"/>
      </top>
      <bottom style="thin">
        <color indexed="9"/>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theme="3"/>
      </left>
      <right/>
      <top style="thick">
        <color theme="3"/>
      </top>
      <bottom style="thin">
        <color theme="3"/>
      </bottom>
      <diagonal/>
    </border>
    <border>
      <left/>
      <right/>
      <top style="thick">
        <color theme="3"/>
      </top>
      <bottom style="thin">
        <color theme="3"/>
      </bottom>
      <diagonal/>
    </border>
    <border>
      <left/>
      <right style="thin">
        <color theme="3"/>
      </right>
      <top style="thick">
        <color theme="3"/>
      </top>
      <bottom style="thin">
        <color theme="3"/>
      </bottom>
      <diagonal/>
    </border>
    <border>
      <left style="thin">
        <color indexed="64"/>
      </left>
      <right style="thin">
        <color indexed="64"/>
      </right>
      <top/>
      <bottom style="thin">
        <color indexed="64"/>
      </bottom>
      <diagonal/>
    </border>
    <border>
      <left style="thin">
        <color theme="4" tint="0.39997558519241921"/>
      </left>
      <right/>
      <top/>
      <bottom/>
      <diagonal/>
    </border>
    <border>
      <left style="thin">
        <color indexed="9"/>
      </left>
      <right style="thin">
        <color indexed="9"/>
      </right>
      <top style="thin">
        <color indexed="9"/>
      </top>
      <bottom/>
      <diagonal/>
    </border>
    <border>
      <left style="thin">
        <color indexed="9"/>
      </left>
      <right style="thin">
        <color indexed="9"/>
      </right>
      <top/>
      <bottom/>
      <diagonal/>
    </border>
    <border>
      <left style="thin">
        <color indexed="9"/>
      </left>
      <right style="thin">
        <color indexed="9"/>
      </right>
      <top/>
      <bottom style="thin">
        <color indexed="9"/>
      </bottom>
      <diagonal/>
    </border>
    <border>
      <left style="thin">
        <color rgb="FFFF0000"/>
      </left>
      <right style="thin">
        <color rgb="FFFF0000"/>
      </right>
      <top style="thin">
        <color rgb="FFFF0000"/>
      </top>
      <bottom style="thin">
        <color rgb="FFFF0000"/>
      </bottom>
      <diagonal/>
    </border>
    <border>
      <left style="thin">
        <color rgb="FFFF0000"/>
      </left>
      <right style="thin">
        <color rgb="FFFF0000"/>
      </right>
      <top style="thick">
        <color rgb="FFFF0000"/>
      </top>
      <bottom style="thin">
        <color rgb="FFFF0000"/>
      </bottom>
      <diagonal/>
    </border>
    <border>
      <left style="thin">
        <color theme="1"/>
      </left>
      <right style="thin">
        <color theme="1"/>
      </right>
      <top style="thin">
        <color theme="1"/>
      </top>
      <bottom style="thin">
        <color theme="1"/>
      </bottom>
      <diagonal/>
    </border>
    <border>
      <left style="thin">
        <color rgb="FFFF0000"/>
      </left>
      <right/>
      <top style="thin">
        <color rgb="FFFF0000"/>
      </top>
      <bottom style="thin">
        <color rgb="FFFF0000"/>
      </bottom>
      <diagonal/>
    </border>
    <border>
      <left/>
      <right/>
      <top style="thin">
        <color rgb="FFFF0000"/>
      </top>
      <bottom style="thin">
        <color rgb="FFFF0000"/>
      </bottom>
      <diagonal/>
    </border>
    <border>
      <left/>
      <right style="thin">
        <color rgb="FFFF0000"/>
      </right>
      <top style="thin">
        <color rgb="FFFF0000"/>
      </top>
      <bottom style="thin">
        <color rgb="FFFF0000"/>
      </bottom>
      <diagonal/>
    </border>
    <border>
      <left style="thin">
        <color rgb="FFFF0000"/>
      </left>
      <right style="thin">
        <color rgb="FFFF0000"/>
      </right>
      <top/>
      <bottom style="thin">
        <color rgb="FFFF0000"/>
      </bottom>
      <diagonal/>
    </border>
  </borders>
  <cellStyleXfs count="3">
    <xf numFmtId="0" fontId="0" fillId="0" borderId="0"/>
    <xf numFmtId="0" fontId="1" fillId="0" borderId="0"/>
    <xf numFmtId="0" fontId="1" fillId="0" borderId="0"/>
  </cellStyleXfs>
  <cellXfs count="153">
    <xf numFmtId="0" fontId="0" fillId="0" borderId="0" xfId="0"/>
    <xf numFmtId="49" fontId="3" fillId="2" borderId="0" xfId="0" applyNumberFormat="1" applyFont="1" applyFill="1" applyAlignment="1">
      <alignment horizontal="center" vertical="center"/>
    </xf>
    <xf numFmtId="49" fontId="2" fillId="2" borderId="0" xfId="0" applyNumberFormat="1" applyFont="1" applyFill="1" applyAlignment="1">
      <alignment horizontal="center" vertical="center"/>
    </xf>
    <xf numFmtId="0" fontId="6" fillId="2" borderId="0" xfId="0" applyFont="1" applyFill="1" applyAlignment="1">
      <alignment vertical="center"/>
    </xf>
    <xf numFmtId="0" fontId="0" fillId="2" borderId="0" xfId="0" applyFill="1" applyAlignment="1">
      <alignment vertical="center"/>
    </xf>
    <xf numFmtId="0" fontId="0" fillId="0" borderId="0" xfId="0" applyAlignment="1">
      <alignment vertical="center"/>
    </xf>
    <xf numFmtId="0" fontId="1" fillId="2" borderId="0" xfId="0" applyFont="1" applyFill="1" applyAlignment="1">
      <alignment vertical="center"/>
    </xf>
    <xf numFmtId="0" fontId="5" fillId="0" borderId="1" xfId="0" applyFont="1" applyBorder="1" applyAlignment="1">
      <alignment horizontal="center" vertical="center"/>
    </xf>
    <xf numFmtId="0" fontId="7" fillId="0" borderId="4" xfId="0" applyFont="1" applyBorder="1" applyAlignment="1">
      <alignment vertical="center"/>
    </xf>
    <xf numFmtId="0" fontId="5" fillId="0" borderId="3" xfId="0" applyFont="1" applyBorder="1" applyAlignment="1">
      <alignment horizontal="center" vertical="center"/>
    </xf>
    <xf numFmtId="0" fontId="5" fillId="0" borderId="2" xfId="0" applyFont="1" applyBorder="1" applyAlignment="1">
      <alignment horizontal="center" vertical="center"/>
    </xf>
    <xf numFmtId="0" fontId="1" fillId="0" borderId="0" xfId="0" applyFont="1" applyAlignment="1">
      <alignment vertical="center"/>
    </xf>
    <xf numFmtId="0" fontId="8" fillId="0" borderId="0" xfId="0" applyFont="1" applyAlignment="1">
      <alignment vertical="center"/>
    </xf>
    <xf numFmtId="0" fontId="4" fillId="2" borderId="0" xfId="0" applyFont="1" applyFill="1" applyAlignment="1">
      <alignment vertical="center"/>
    </xf>
    <xf numFmtId="0" fontId="4" fillId="2" borderId="0" xfId="0" applyFont="1" applyFill="1" applyAlignment="1">
      <alignment horizontal="right" vertical="center"/>
    </xf>
    <xf numFmtId="0" fontId="0" fillId="2" borderId="0" xfId="0" applyFill="1" applyAlignment="1">
      <alignment horizontal="center" vertical="center"/>
    </xf>
    <xf numFmtId="0" fontId="9" fillId="2" borderId="0" xfId="0" applyFont="1" applyFill="1" applyAlignment="1">
      <alignment vertical="center"/>
    </xf>
    <xf numFmtId="0" fontId="1" fillId="2" borderId="0" xfId="0" applyFont="1" applyFill="1" applyAlignment="1">
      <alignment horizontal="center" vertical="center"/>
    </xf>
    <xf numFmtId="0" fontId="1" fillId="2" borderId="0" xfId="0" applyFont="1" applyFill="1" applyAlignment="1">
      <alignment horizontal="right" vertical="center"/>
    </xf>
    <xf numFmtId="0" fontId="0" fillId="2" borderId="0" xfId="0" applyFill="1" applyAlignment="1">
      <alignment vertical="top"/>
    </xf>
    <xf numFmtId="0" fontId="1" fillId="2" borderId="0" xfId="0" applyFont="1" applyFill="1" applyAlignment="1">
      <alignment vertical="top"/>
    </xf>
    <xf numFmtId="0" fontId="7" fillId="0" borderId="5" xfId="0" applyFont="1" applyBorder="1" applyAlignment="1">
      <alignment vertical="center"/>
    </xf>
    <xf numFmtId="0" fontId="4" fillId="2" borderId="0" xfId="0" applyFont="1" applyFill="1" applyAlignment="1">
      <alignment horizontal="center" vertical="center"/>
    </xf>
    <xf numFmtId="0" fontId="0" fillId="2" borderId="0" xfId="0" applyFill="1" applyAlignment="1">
      <alignment horizontal="right" vertical="center"/>
    </xf>
    <xf numFmtId="0" fontId="1" fillId="0" borderId="0" xfId="1" applyAlignment="1">
      <alignment vertical="center"/>
    </xf>
    <xf numFmtId="0" fontId="8" fillId="0" borderId="0" xfId="1" applyFont="1" applyAlignment="1">
      <alignment vertical="center"/>
    </xf>
    <xf numFmtId="0" fontId="4" fillId="2" borderId="0" xfId="1" applyFont="1" applyFill="1" applyAlignment="1">
      <alignment horizontal="left" vertical="center"/>
    </xf>
    <xf numFmtId="0" fontId="1" fillId="2" borderId="0" xfId="1" applyFill="1" applyAlignment="1">
      <alignment vertical="center"/>
    </xf>
    <xf numFmtId="0" fontId="4" fillId="2" borderId="0" xfId="1" applyFont="1" applyFill="1" applyAlignment="1">
      <alignment vertical="center"/>
    </xf>
    <xf numFmtId="0" fontId="1" fillId="0" borderId="0" xfId="1" applyAlignment="1">
      <alignment horizontal="center" vertical="center"/>
    </xf>
    <xf numFmtId="0" fontId="9" fillId="0" borderId="0" xfId="1" applyFont="1" applyAlignment="1">
      <alignment vertical="center"/>
    </xf>
    <xf numFmtId="0" fontId="9" fillId="0" borderId="0" xfId="1" applyFont="1" applyAlignment="1">
      <alignment vertical="center" wrapText="1"/>
    </xf>
    <xf numFmtId="0" fontId="9" fillId="0" borderId="0" xfId="1" applyFont="1" applyAlignment="1">
      <alignment horizontal="left" vertical="center" wrapText="1"/>
    </xf>
    <xf numFmtId="0" fontId="1" fillId="0" borderId="0" xfId="1" applyAlignment="1">
      <alignment vertical="center" wrapText="1"/>
    </xf>
    <xf numFmtId="0" fontId="1" fillId="0" borderId="0" xfId="1" applyAlignment="1">
      <alignment horizontal="left" vertical="center" wrapText="1"/>
    </xf>
    <xf numFmtId="0" fontId="10" fillId="0" borderId="0" xfId="1" applyFont="1" applyAlignment="1">
      <alignment vertical="center"/>
    </xf>
    <xf numFmtId="0" fontId="1" fillId="0" borderId="0" xfId="1" applyAlignment="1">
      <alignment horizontal="center" vertical="center" wrapText="1"/>
    </xf>
    <xf numFmtId="0" fontId="11" fillId="4" borderId="9" xfId="1" applyFont="1" applyFill="1" applyBorder="1" applyAlignment="1">
      <alignment horizontal="center" vertical="center" wrapText="1"/>
    </xf>
    <xf numFmtId="0" fontId="11" fillId="5" borderId="9" xfId="1" applyFont="1" applyFill="1" applyBorder="1" applyAlignment="1">
      <alignment horizontal="center" vertical="center" wrapText="1"/>
    </xf>
    <xf numFmtId="0" fontId="2" fillId="6" borderId="9" xfId="1" applyFont="1" applyFill="1" applyBorder="1" applyAlignment="1">
      <alignment vertical="center" wrapText="1"/>
    </xf>
    <xf numFmtId="0" fontId="11" fillId="4" borderId="8" xfId="1" applyFont="1" applyFill="1" applyBorder="1" applyAlignment="1">
      <alignment horizontal="center" vertical="center" wrapText="1"/>
    </xf>
    <xf numFmtId="0" fontId="11" fillId="4" borderId="8" xfId="1" applyFont="1" applyFill="1" applyBorder="1" applyAlignment="1">
      <alignment horizontal="left" vertical="center" wrapText="1"/>
    </xf>
    <xf numFmtId="0" fontId="1" fillId="0" borderId="9" xfId="1" applyBorder="1" applyAlignment="1">
      <alignment vertical="center" wrapText="1"/>
    </xf>
    <xf numFmtId="0" fontId="1" fillId="0" borderId="9" xfId="1" applyBorder="1" applyAlignment="1">
      <alignment horizontal="left" vertical="center" wrapText="1"/>
    </xf>
    <xf numFmtId="49" fontId="1" fillId="0" borderId="9" xfId="1" applyNumberFormat="1" applyBorder="1" applyAlignment="1">
      <alignment vertical="center" wrapText="1"/>
    </xf>
    <xf numFmtId="0" fontId="1" fillId="0" borderId="0" xfId="2" applyAlignment="1">
      <alignment vertical="center" wrapText="1"/>
    </xf>
    <xf numFmtId="0" fontId="1" fillId="0" borderId="9" xfId="2" applyBorder="1" applyAlignment="1">
      <alignment vertical="center" wrapText="1"/>
    </xf>
    <xf numFmtId="0" fontId="1" fillId="0" borderId="9" xfId="2" applyBorder="1" applyAlignment="1">
      <alignment horizontal="left" vertical="center" wrapText="1"/>
    </xf>
    <xf numFmtId="0" fontId="10" fillId="0" borderId="9" xfId="1" applyFont="1" applyBorder="1" applyAlignment="1">
      <alignment vertical="center" wrapText="1"/>
    </xf>
    <xf numFmtId="0" fontId="1" fillId="0" borderId="8" xfId="1" applyBorder="1" applyAlignment="1">
      <alignment horizontal="left" vertical="center" wrapText="1"/>
    </xf>
    <xf numFmtId="0" fontId="1" fillId="0" borderId="8" xfId="1" applyBorder="1" applyAlignment="1">
      <alignment vertical="center" wrapText="1"/>
    </xf>
    <xf numFmtId="0" fontId="1" fillId="0" borderId="13" xfId="1" applyBorder="1" applyAlignment="1">
      <alignment vertical="center" wrapText="1"/>
    </xf>
    <xf numFmtId="0" fontId="1" fillId="0" borderId="13" xfId="1" applyBorder="1" applyAlignment="1">
      <alignment horizontal="left" vertical="center" wrapText="1"/>
    </xf>
    <xf numFmtId="0" fontId="1" fillId="0" borderId="9" xfId="1" applyBorder="1" applyAlignment="1">
      <alignment vertical="top" wrapText="1"/>
    </xf>
    <xf numFmtId="0" fontId="1" fillId="0" borderId="9" xfId="1" applyBorder="1" applyAlignment="1">
      <alignment vertical="center"/>
    </xf>
    <xf numFmtId="0" fontId="1" fillId="0" borderId="9" xfId="1" applyBorder="1" applyAlignment="1">
      <alignment horizontal="left" vertical="top" wrapText="1"/>
    </xf>
    <xf numFmtId="0" fontId="1" fillId="0" borderId="9" xfId="2" applyBorder="1" applyAlignment="1">
      <alignment vertical="center"/>
    </xf>
    <xf numFmtId="0" fontId="1" fillId="0" borderId="0" xfId="2" applyAlignment="1">
      <alignment vertical="center"/>
    </xf>
    <xf numFmtId="0" fontId="10" fillId="0" borderId="9" xfId="2" applyFont="1" applyBorder="1" applyAlignment="1">
      <alignment vertical="center" wrapText="1"/>
    </xf>
    <xf numFmtId="0" fontId="1" fillId="0" borderId="14" xfId="1" applyBorder="1" applyAlignment="1" applyProtection="1">
      <alignment horizontal="left" vertical="center" wrapText="1"/>
      <protection locked="0"/>
    </xf>
    <xf numFmtId="0" fontId="9" fillId="0" borderId="0" xfId="2" applyFont="1" applyAlignment="1">
      <alignment vertical="center"/>
    </xf>
    <xf numFmtId="0" fontId="14" fillId="7" borderId="9" xfId="1" applyFont="1" applyFill="1" applyBorder="1" applyAlignment="1">
      <alignment vertical="center" wrapText="1"/>
    </xf>
    <xf numFmtId="0" fontId="14" fillId="7" borderId="9" xfId="1" applyFont="1" applyFill="1" applyBorder="1" applyAlignment="1">
      <alignment horizontal="center" vertical="center" wrapText="1"/>
    </xf>
    <xf numFmtId="0" fontId="15" fillId="3" borderId="9" xfId="1" applyFont="1" applyFill="1" applyBorder="1" applyAlignment="1">
      <alignment vertical="center" wrapText="1"/>
    </xf>
    <xf numFmtId="0" fontId="15" fillId="3" borderId="9" xfId="1" applyFont="1" applyFill="1" applyBorder="1" applyAlignment="1">
      <alignment horizontal="center" vertical="center" wrapText="1"/>
    </xf>
    <xf numFmtId="0" fontId="11" fillId="4" borderId="9" xfId="1" applyFont="1" applyFill="1" applyBorder="1" applyAlignment="1">
      <alignment vertical="center" wrapText="1"/>
    </xf>
    <xf numFmtId="0" fontId="2" fillId="0" borderId="9" xfId="2" applyFont="1" applyBorder="1" applyAlignment="1">
      <alignment vertical="center"/>
    </xf>
    <xf numFmtId="0" fontId="16" fillId="0" borderId="9" xfId="1" applyFont="1" applyBorder="1" applyAlignment="1">
      <alignment vertical="center" wrapText="1"/>
    </xf>
    <xf numFmtId="0" fontId="16" fillId="0" borderId="9" xfId="1" applyFont="1" applyBorder="1" applyAlignment="1">
      <alignment horizontal="center" vertical="center" wrapText="1"/>
    </xf>
    <xf numFmtId="0" fontId="17" fillId="0" borderId="9" xfId="1" applyFont="1" applyBorder="1" applyAlignment="1">
      <alignment vertical="center" wrapText="1"/>
    </xf>
    <xf numFmtId="0" fontId="15" fillId="4" borderId="9" xfId="1" applyFont="1" applyFill="1" applyBorder="1" applyAlignment="1">
      <alignment vertical="center" wrapText="1"/>
    </xf>
    <xf numFmtId="0" fontId="15" fillId="4" borderId="9" xfId="1" applyFont="1" applyFill="1" applyBorder="1" applyAlignment="1">
      <alignment horizontal="center" vertical="center" wrapText="1"/>
    </xf>
    <xf numFmtId="0" fontId="16" fillId="0" borderId="9" xfId="1" quotePrefix="1" applyFont="1" applyBorder="1" applyAlignment="1">
      <alignment vertical="center" wrapText="1"/>
    </xf>
    <xf numFmtId="0" fontId="16" fillId="0" borderId="9" xfId="1" applyFont="1" applyBorder="1" applyAlignment="1">
      <alignment horizontal="left" vertical="center" wrapText="1"/>
    </xf>
    <xf numFmtId="0" fontId="4" fillId="2" borderId="0" xfId="2" applyFont="1" applyFill="1" applyAlignment="1">
      <alignment vertical="center"/>
    </xf>
    <xf numFmtId="0" fontId="4" fillId="2" borderId="0" xfId="2" applyFont="1" applyFill="1" applyAlignment="1">
      <alignment horizontal="right" vertical="center"/>
    </xf>
    <xf numFmtId="0" fontId="1" fillId="2" borderId="0" xfId="2" applyFill="1" applyAlignment="1">
      <alignment vertical="center"/>
    </xf>
    <xf numFmtId="0" fontId="9" fillId="0" borderId="0" xfId="2" applyFont="1" applyAlignment="1">
      <alignment horizontal="center" vertical="center"/>
    </xf>
    <xf numFmtId="0" fontId="1" fillId="0" borderId="0" xfId="2" applyAlignment="1">
      <alignment horizontal="center" vertical="center"/>
    </xf>
    <xf numFmtId="0" fontId="1" fillId="0" borderId="1" xfId="1" applyBorder="1"/>
    <xf numFmtId="0" fontId="2" fillId="8" borderId="1" xfId="1" applyFont="1" applyFill="1" applyBorder="1" applyAlignment="1">
      <alignment horizontal="center" vertical="center" wrapText="1"/>
    </xf>
    <xf numFmtId="0" fontId="2" fillId="9" borderId="1" xfId="1" applyFont="1" applyFill="1" applyBorder="1" applyAlignment="1">
      <alignment horizontal="center" vertical="center" wrapText="1"/>
    </xf>
    <xf numFmtId="0" fontId="1" fillId="0" borderId="1" xfId="1" applyBorder="1" applyAlignment="1">
      <alignment vertical="center"/>
    </xf>
    <xf numFmtId="0" fontId="2" fillId="8" borderId="9" xfId="1" applyFont="1" applyFill="1" applyBorder="1" applyAlignment="1">
      <alignment horizontal="center" vertical="center" textRotation="90" wrapText="1"/>
    </xf>
    <xf numFmtId="0" fontId="10" fillId="0" borderId="0" xfId="2" applyFont="1" applyAlignment="1">
      <alignment vertical="center"/>
    </xf>
    <xf numFmtId="0" fontId="18" fillId="0" borderId="1" xfId="1" quotePrefix="1" applyFont="1" applyBorder="1"/>
    <xf numFmtId="0" fontId="19" fillId="0" borderId="1" xfId="1" applyFont="1" applyBorder="1"/>
    <xf numFmtId="0" fontId="20" fillId="0" borderId="1" xfId="1" applyFont="1" applyBorder="1"/>
    <xf numFmtId="0" fontId="5" fillId="0" borderId="15" xfId="0" applyFont="1" applyBorder="1" applyAlignment="1">
      <alignment horizontal="center" vertical="center"/>
    </xf>
    <xf numFmtId="0" fontId="0" fillId="0" borderId="0" xfId="0" applyAlignment="1">
      <alignment horizontal="center" vertical="center"/>
    </xf>
    <xf numFmtId="0" fontId="1" fillId="0" borderId="0" xfId="0" applyFont="1" applyAlignment="1">
      <alignment vertical="center" wrapText="1"/>
    </xf>
    <xf numFmtId="0" fontId="10" fillId="0" borderId="9" xfId="0" applyFont="1" applyBorder="1" applyAlignment="1">
      <alignment vertical="center" wrapText="1"/>
    </xf>
    <xf numFmtId="0" fontId="1" fillId="0" borderId="9" xfId="0" applyFont="1" applyBorder="1" applyAlignment="1">
      <alignment vertical="center" wrapText="1"/>
    </xf>
    <xf numFmtId="0" fontId="1" fillId="0" borderId="9" xfId="0" applyFont="1" applyBorder="1" applyAlignment="1">
      <alignment horizontal="left" vertical="center" wrapText="1"/>
    </xf>
    <xf numFmtId="0" fontId="1" fillId="0" borderId="9" xfId="0" applyFont="1" applyBorder="1" applyAlignment="1">
      <alignment vertical="center"/>
    </xf>
    <xf numFmtId="0" fontId="1" fillId="0" borderId="13" xfId="1" applyBorder="1" applyAlignment="1">
      <alignment vertical="top" wrapText="1"/>
    </xf>
    <xf numFmtId="0" fontId="7" fillId="0" borderId="1" xfId="0" applyFont="1" applyBorder="1" applyAlignment="1">
      <alignment horizontal="center" vertical="center"/>
    </xf>
    <xf numFmtId="0" fontId="7" fillId="0" borderId="3" xfId="0" applyFont="1" applyBorder="1" applyAlignment="1">
      <alignment horizontal="center" vertical="center"/>
    </xf>
    <xf numFmtId="0" fontId="1" fillId="0" borderId="15" xfId="1" applyBorder="1"/>
    <xf numFmtId="0" fontId="1" fillId="0" borderId="15" xfId="1" applyBorder="1" applyAlignment="1">
      <alignment vertical="center"/>
    </xf>
    <xf numFmtId="0" fontId="2" fillId="10" borderId="9" xfId="1" applyFont="1" applyFill="1" applyBorder="1"/>
    <xf numFmtId="0" fontId="1" fillId="0" borderId="0" xfId="1"/>
    <xf numFmtId="0" fontId="2" fillId="10" borderId="9" xfId="1" applyFont="1" applyFill="1" applyBorder="1" applyAlignment="1">
      <alignment horizontal="center" vertical="center"/>
    </xf>
    <xf numFmtId="0" fontId="1" fillId="0" borderId="16" xfId="1" applyBorder="1"/>
    <xf numFmtId="0" fontId="2" fillId="0" borderId="17" xfId="1" applyFont="1" applyBorder="1" applyAlignment="1">
      <alignment horizontal="center" vertical="center"/>
    </xf>
    <xf numFmtId="0" fontId="2" fillId="0" borderId="1" xfId="1" applyFont="1" applyBorder="1" applyAlignment="1">
      <alignment horizontal="center" vertical="center"/>
    </xf>
    <xf numFmtId="0" fontId="1" fillId="0" borderId="17" xfId="1" applyBorder="1" applyAlignment="1">
      <alignment vertical="center"/>
    </xf>
    <xf numFmtId="0" fontId="1" fillId="0" borderId="17" xfId="1" applyBorder="1"/>
    <xf numFmtId="0" fontId="2" fillId="0" borderId="0" xfId="1" applyFont="1" applyAlignment="1">
      <alignment horizontal="center" vertical="center"/>
    </xf>
    <xf numFmtId="0" fontId="1" fillId="0" borderId="0" xfId="0" applyFont="1"/>
    <xf numFmtId="0" fontId="22" fillId="11" borderId="18" xfId="0" applyFont="1" applyFill="1" applyBorder="1" applyAlignment="1">
      <alignment horizontal="center" vertical="center" wrapText="1"/>
    </xf>
    <xf numFmtId="49" fontId="1" fillId="2" borderId="18" xfId="0" applyNumberFormat="1" applyFont="1" applyFill="1" applyBorder="1" applyAlignment="1">
      <alignment horizontal="center" vertical="center" wrapText="1"/>
    </xf>
    <xf numFmtId="164" fontId="1" fillId="2" borderId="18" xfId="0" applyNumberFormat="1" applyFont="1" applyFill="1" applyBorder="1" applyAlignment="1">
      <alignment horizontal="center" vertical="center" wrapText="1"/>
    </xf>
    <xf numFmtId="0" fontId="1" fillId="2" borderId="18" xfId="0" applyFont="1" applyFill="1" applyBorder="1" applyAlignment="1">
      <alignment horizontal="center" vertical="center" wrapText="1"/>
    </xf>
    <xf numFmtId="49" fontId="22" fillId="11" borderId="18" xfId="0" applyNumberFormat="1" applyFont="1" applyFill="1" applyBorder="1" applyAlignment="1">
      <alignment horizontal="center" vertical="center" wrapText="1"/>
    </xf>
    <xf numFmtId="0" fontId="23" fillId="0" borderId="20" xfId="0" applyFont="1" applyBorder="1" applyAlignment="1">
      <alignment horizontal="center"/>
    </xf>
    <xf numFmtId="0" fontId="24" fillId="0" borderId="6" xfId="0" applyFont="1" applyBorder="1" applyAlignment="1">
      <alignment horizontal="center" vertical="center"/>
    </xf>
    <xf numFmtId="0" fontId="23" fillId="0" borderId="5" xfId="0" applyFont="1" applyBorder="1"/>
    <xf numFmtId="0" fontId="23" fillId="0" borderId="5" xfId="0" applyFont="1" applyBorder="1" applyAlignment="1">
      <alignment horizontal="center"/>
    </xf>
    <xf numFmtId="0" fontId="7" fillId="0" borderId="0" xfId="0" applyFont="1" applyAlignment="1">
      <alignment vertical="center"/>
    </xf>
    <xf numFmtId="0" fontId="7" fillId="0" borderId="2" xfId="0" applyFont="1" applyBorder="1" applyAlignment="1">
      <alignment horizontal="center" vertical="center"/>
    </xf>
    <xf numFmtId="0" fontId="23" fillId="0" borderId="9" xfId="0" applyFont="1" applyBorder="1" applyAlignment="1">
      <alignment horizontal="center"/>
    </xf>
    <xf numFmtId="0" fontId="5" fillId="0" borderId="0" xfId="0" applyFont="1" applyAlignment="1">
      <alignment horizontal="center" vertical="center"/>
    </xf>
    <xf numFmtId="0" fontId="4" fillId="2" borderId="0" xfId="0" applyFont="1" applyFill="1" applyAlignment="1">
      <alignment horizontal="left" vertical="center"/>
    </xf>
    <xf numFmtId="0" fontId="16" fillId="12" borderId="9" xfId="1" applyFont="1" applyFill="1" applyBorder="1" applyAlignment="1">
      <alignment vertical="center" wrapText="1"/>
    </xf>
    <xf numFmtId="0" fontId="16" fillId="12" borderId="9" xfId="1" applyFont="1" applyFill="1" applyBorder="1" applyAlignment="1">
      <alignment horizontal="center" vertical="center" wrapText="1"/>
    </xf>
    <xf numFmtId="0" fontId="16" fillId="12" borderId="9" xfId="1" applyFont="1" applyFill="1" applyBorder="1" applyAlignment="1">
      <alignment horizontal="left" vertical="center" wrapText="1"/>
    </xf>
    <xf numFmtId="0" fontId="22" fillId="11" borderId="21" xfId="0" applyFont="1" applyFill="1" applyBorder="1" applyAlignment="1">
      <alignment horizontal="center" vertical="center" wrapText="1"/>
    </xf>
    <xf numFmtId="0" fontId="22" fillId="11" borderId="22" xfId="0" applyFont="1" applyFill="1" applyBorder="1" applyAlignment="1">
      <alignment horizontal="center" vertical="center" wrapText="1"/>
    </xf>
    <xf numFmtId="0" fontId="22" fillId="11" borderId="23" xfId="0" applyFont="1" applyFill="1" applyBorder="1" applyAlignment="1">
      <alignment horizontal="center" vertical="center" wrapText="1"/>
    </xf>
    <xf numFmtId="0" fontId="1" fillId="2" borderId="21" xfId="0" applyFont="1" applyFill="1" applyBorder="1" applyAlignment="1">
      <alignment horizontal="center" vertical="center" wrapText="1"/>
    </xf>
    <xf numFmtId="0" fontId="1" fillId="2" borderId="22" xfId="0" applyFont="1" applyFill="1" applyBorder="1" applyAlignment="1">
      <alignment horizontal="center" vertical="center" wrapText="1"/>
    </xf>
    <xf numFmtId="0" fontId="1" fillId="2" borderId="23" xfId="0" applyFont="1" applyFill="1" applyBorder="1" applyAlignment="1">
      <alignment horizontal="center" vertical="center" wrapText="1"/>
    </xf>
    <xf numFmtId="0" fontId="21" fillId="11" borderId="10" xfId="0" applyFont="1" applyFill="1" applyBorder="1" applyAlignment="1">
      <alignment horizontal="center" vertical="center" wrapText="1"/>
    </xf>
    <xf numFmtId="0" fontId="21" fillId="11" borderId="11" xfId="0" applyFont="1" applyFill="1" applyBorder="1" applyAlignment="1">
      <alignment horizontal="center" vertical="center" wrapText="1"/>
    </xf>
    <xf numFmtId="0" fontId="21" fillId="11" borderId="12" xfId="0" applyFont="1" applyFill="1" applyBorder="1" applyAlignment="1">
      <alignment horizontal="center" vertical="center" wrapText="1"/>
    </xf>
    <xf numFmtId="0" fontId="4" fillId="2" borderId="0" xfId="0" applyFont="1" applyFill="1" applyAlignment="1">
      <alignment horizontal="center" vertical="center"/>
    </xf>
    <xf numFmtId="0" fontId="1" fillId="2" borderId="0" xfId="0" applyFont="1" applyFill="1" applyAlignment="1">
      <alignment horizontal="left" vertical="top" wrapText="1"/>
    </xf>
    <xf numFmtId="0" fontId="0" fillId="2" borderId="0" xfId="0" applyFill="1" applyAlignment="1">
      <alignment horizontal="left" vertical="top" wrapText="1"/>
    </xf>
    <xf numFmtId="49" fontId="22" fillId="11" borderId="19" xfId="0" applyNumberFormat="1" applyFont="1" applyFill="1" applyBorder="1" applyAlignment="1">
      <alignment horizontal="center" vertical="center" wrapText="1"/>
    </xf>
    <xf numFmtId="0" fontId="22" fillId="11" borderId="18" xfId="0" applyFont="1" applyFill="1" applyBorder="1" applyAlignment="1">
      <alignment horizontal="center" vertical="center" wrapText="1"/>
    </xf>
    <xf numFmtId="0" fontId="1" fillId="2" borderId="18" xfId="0" applyFont="1" applyFill="1" applyBorder="1" applyAlignment="1">
      <alignment horizontal="left" vertical="center" wrapText="1"/>
    </xf>
    <xf numFmtId="0" fontId="25" fillId="2" borderId="21" xfId="0" applyFont="1" applyFill="1" applyBorder="1" applyAlignment="1">
      <alignment horizontal="center" vertical="center" wrapText="1"/>
    </xf>
    <xf numFmtId="0" fontId="25" fillId="2" borderId="22" xfId="0" applyFont="1" applyFill="1" applyBorder="1" applyAlignment="1">
      <alignment horizontal="center" vertical="center" wrapText="1"/>
    </xf>
    <xf numFmtId="0" fontId="25" fillId="2" borderId="23" xfId="0" applyFont="1" applyFill="1" applyBorder="1" applyAlignment="1">
      <alignment horizontal="center" vertical="center" wrapText="1"/>
    </xf>
    <xf numFmtId="0" fontId="1" fillId="2" borderId="24" xfId="0" applyFont="1" applyFill="1" applyBorder="1" applyAlignment="1">
      <alignment horizontal="left" vertical="center" wrapText="1"/>
    </xf>
    <xf numFmtId="0" fontId="9" fillId="0" borderId="0" xfId="1" applyFont="1" applyAlignment="1">
      <alignment horizontal="center" vertical="center"/>
    </xf>
    <xf numFmtId="0" fontId="1" fillId="0" borderId="0" xfId="1" applyAlignment="1">
      <alignment horizontal="center" vertical="center"/>
    </xf>
    <xf numFmtId="0" fontId="11" fillId="4" borderId="4" xfId="1" applyFont="1" applyFill="1" applyBorder="1" applyAlignment="1">
      <alignment horizontal="center" vertical="center" wrapText="1"/>
    </xf>
    <xf numFmtId="0" fontId="11" fillId="4" borderId="7" xfId="1" applyFont="1" applyFill="1" applyBorder="1" applyAlignment="1">
      <alignment horizontal="center" vertical="center" wrapText="1"/>
    </xf>
    <xf numFmtId="0" fontId="11" fillId="4" borderId="5" xfId="1" applyFont="1" applyFill="1" applyBorder="1" applyAlignment="1">
      <alignment horizontal="center" vertical="center" wrapText="1"/>
    </xf>
    <xf numFmtId="0" fontId="9" fillId="0" borderId="0" xfId="2" applyFont="1" applyAlignment="1">
      <alignment horizontal="center" vertical="center"/>
    </xf>
    <xf numFmtId="0" fontId="1" fillId="0" borderId="0" xfId="2" applyAlignment="1">
      <alignment horizontal="center" vertical="center"/>
    </xf>
  </cellXfs>
  <cellStyles count="3">
    <cellStyle name="Normal" xfId="0" builtinId="0"/>
    <cellStyle name="Normal 10 2" xfId="2" xr:uid="{00000000-0005-0000-0000-000001000000}"/>
    <cellStyle name="Normal 2" xfId="1" xr:uid="{00000000-0005-0000-0000-000002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9</xdr:col>
      <xdr:colOff>838200</xdr:colOff>
      <xdr:row>0</xdr:row>
      <xdr:rowOff>63500</xdr:rowOff>
    </xdr:from>
    <xdr:to>
      <xdr:col>11</xdr:col>
      <xdr:colOff>835378</xdr:colOff>
      <xdr:row>2</xdr:row>
      <xdr:rowOff>177094</xdr:rowOff>
    </xdr:to>
    <xdr:pic>
      <xdr:nvPicPr>
        <xdr:cNvPr id="2" name="Picture 1">
          <a:extLst>
            <a:ext uri="{FF2B5EF4-FFF2-40B4-BE49-F238E27FC236}">
              <a16:creationId xmlns:a16="http://schemas.microsoft.com/office/drawing/2014/main" id="{2800C151-6DDC-42AE-B98F-C45575A6E4A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82050" y="63500"/>
          <a:ext cx="1762478" cy="621594"/>
        </a:xfrm>
        <a:prstGeom prst="rect">
          <a:avLst/>
        </a:prstGeom>
        <a:noFill/>
      </xdr:spPr>
    </xdr:pic>
    <xdr:clientData/>
  </xdr:twoCellAnchor>
</xdr:wsDr>
</file>

<file path=xl/drawings/drawing2.xml><?xml version="1.0" encoding="utf-8"?>
<xdr:wsDr xmlns:xdr="http://schemas.openxmlformats.org/drawingml/2006/spreadsheetDrawing" xmlns:a="http://schemas.openxmlformats.org/drawingml/2006/main">
  <xdr:twoCellAnchor>
    <xdr:from>
      <xdr:col>21</xdr:col>
      <xdr:colOff>149133</xdr:colOff>
      <xdr:row>2</xdr:row>
      <xdr:rowOff>45186</xdr:rowOff>
    </xdr:from>
    <xdr:to>
      <xdr:col>25</xdr:col>
      <xdr:colOff>773723</xdr:colOff>
      <xdr:row>5</xdr:row>
      <xdr:rowOff>70338</xdr:rowOff>
    </xdr:to>
    <xdr:sp macro="" textlink="">
      <xdr:nvSpPr>
        <xdr:cNvPr id="2" name="TextBox 1">
          <a:extLst>
            <a:ext uri="{FF2B5EF4-FFF2-40B4-BE49-F238E27FC236}">
              <a16:creationId xmlns:a16="http://schemas.microsoft.com/office/drawing/2014/main" id="{00000000-0008-0000-0100-000002000000}"/>
            </a:ext>
          </a:extLst>
        </xdr:cNvPr>
        <xdr:cNvSpPr txBox="1"/>
      </xdr:nvSpPr>
      <xdr:spPr>
        <a:xfrm>
          <a:off x="17112425" y="432048"/>
          <a:ext cx="3766375" cy="51752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rgbClr val="FF0000"/>
              </a:solidFill>
            </a:rPr>
            <a:t>Please note that the WBS revision</a:t>
          </a:r>
          <a:r>
            <a:rPr lang="en-US" sz="1100" baseline="0">
              <a:solidFill>
                <a:srgbClr val="FF0000"/>
              </a:solidFill>
            </a:rPr>
            <a:t> </a:t>
          </a:r>
          <a:r>
            <a:rPr lang="en-US" sz="1100">
              <a:solidFill>
                <a:srgbClr val="FF0000"/>
              </a:solidFill>
            </a:rPr>
            <a:t>number (bottom right) </a:t>
          </a:r>
          <a:r>
            <a:rPr lang="en-US" sz="1100">
              <a:solidFill>
                <a:srgbClr val="FF0000"/>
              </a:solidFill>
              <a:effectLst/>
              <a:latin typeface="+mn-lt"/>
              <a:ea typeface="+mn-ea"/>
              <a:cs typeface="+mn-cs"/>
            </a:rPr>
            <a:t>is to be kept for version traceablility. </a:t>
          </a:r>
          <a:endParaRPr lang="en-US" sz="1100">
            <a:solidFill>
              <a:srgbClr val="FF0000"/>
            </a:solidFill>
          </a:endParaRPr>
        </a:p>
      </xdr:txBody>
    </xdr:sp>
    <xdr:clientData/>
  </xdr:twoCellAnchor>
  <xdr:twoCellAnchor>
    <xdr:from>
      <xdr:col>21</xdr:col>
      <xdr:colOff>147764</xdr:colOff>
      <xdr:row>6</xdr:row>
      <xdr:rowOff>13187</xdr:rowOff>
    </xdr:from>
    <xdr:to>
      <xdr:col>26</xdr:col>
      <xdr:colOff>0</xdr:colOff>
      <xdr:row>11</xdr:row>
      <xdr:rowOff>1</xdr:rowOff>
    </xdr:to>
    <xdr:sp macro="" textlink="">
      <xdr:nvSpPr>
        <xdr:cNvPr id="3" name="TextBox 2">
          <a:extLst>
            <a:ext uri="{FF2B5EF4-FFF2-40B4-BE49-F238E27FC236}">
              <a16:creationId xmlns:a16="http://schemas.microsoft.com/office/drawing/2014/main" id="{00000000-0008-0000-0100-000003000000}"/>
            </a:ext>
          </a:extLst>
        </xdr:cNvPr>
        <xdr:cNvSpPr txBox="1"/>
      </xdr:nvSpPr>
      <xdr:spPr>
        <a:xfrm>
          <a:off x="17111056" y="1056541"/>
          <a:ext cx="3779467" cy="807429"/>
        </a:xfrm>
        <a:prstGeom prst="rect">
          <a:avLst/>
        </a:prstGeom>
        <a:solidFill>
          <a:srgbClr val="FFFF99"/>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rgbClr val="FF0000"/>
              </a:solidFill>
            </a:rPr>
            <a:t>This WBS has been built in accordance</a:t>
          </a:r>
          <a:r>
            <a:rPr lang="en-US" sz="1100" baseline="0">
              <a:solidFill>
                <a:srgbClr val="FF0000"/>
              </a:solidFill>
            </a:rPr>
            <a:t> with the WBS Golden Rules. For details, please refer to :</a:t>
          </a:r>
        </a:p>
        <a:p>
          <a:r>
            <a:rPr lang="en-US" sz="1100">
              <a:solidFill>
                <a:srgbClr val="FF0000"/>
              </a:solidFill>
            </a:rPr>
            <a:t>https://wiki.corp.thales/display/ThAB/WBS+Golden+Rules</a:t>
          </a:r>
        </a:p>
      </xdr:txBody>
    </xdr:sp>
    <xdr:clientData/>
  </xdr:twoCellAnchor>
  <xdr:twoCellAnchor>
    <xdr:from>
      <xdr:col>21</xdr:col>
      <xdr:colOff>149679</xdr:colOff>
      <xdr:row>12</xdr:row>
      <xdr:rowOff>67623</xdr:rowOff>
    </xdr:from>
    <xdr:to>
      <xdr:col>22</xdr:col>
      <xdr:colOff>40822</xdr:colOff>
      <xdr:row>14</xdr:row>
      <xdr:rowOff>109282</xdr:rowOff>
    </xdr:to>
    <xdr:sp macro="" textlink="">
      <xdr:nvSpPr>
        <xdr:cNvPr id="4" name="Rectangle 3">
          <a:extLst>
            <a:ext uri="{FF2B5EF4-FFF2-40B4-BE49-F238E27FC236}">
              <a16:creationId xmlns:a16="http://schemas.microsoft.com/office/drawing/2014/main" id="{00000000-0008-0000-0100-000004000000}"/>
            </a:ext>
          </a:extLst>
        </xdr:cNvPr>
        <xdr:cNvSpPr/>
      </xdr:nvSpPr>
      <xdr:spPr>
        <a:xfrm>
          <a:off x="17112971" y="2095715"/>
          <a:ext cx="676589" cy="369905"/>
        </a:xfrm>
        <a:prstGeom prst="rect">
          <a:avLst/>
        </a:prstGeom>
        <a:solidFill>
          <a:srgbClr val="FFFF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22</xdr:col>
      <xdr:colOff>40821</xdr:colOff>
      <xdr:row>12</xdr:row>
      <xdr:rowOff>40408</xdr:rowOff>
    </xdr:from>
    <xdr:to>
      <xdr:col>23</xdr:col>
      <xdr:colOff>408215</xdr:colOff>
      <xdr:row>14</xdr:row>
      <xdr:rowOff>163710</xdr:rowOff>
    </xdr:to>
    <xdr:sp macro="" textlink="">
      <xdr:nvSpPr>
        <xdr:cNvPr id="5" name="TextBox 4">
          <a:extLst>
            <a:ext uri="{FF2B5EF4-FFF2-40B4-BE49-F238E27FC236}">
              <a16:creationId xmlns:a16="http://schemas.microsoft.com/office/drawing/2014/main" id="{00000000-0008-0000-0100-000005000000}"/>
            </a:ext>
          </a:extLst>
        </xdr:cNvPr>
        <xdr:cNvSpPr txBox="1"/>
      </xdr:nvSpPr>
      <xdr:spPr>
        <a:xfrm>
          <a:off x="17789559" y="2068500"/>
          <a:ext cx="1152841" cy="4515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horz" wrap="square" rtlCol="0" anchor="t"/>
        <a:lstStyle/>
        <a:p>
          <a:r>
            <a:rPr lang="en-US" sz="1100"/>
            <a:t>Major changes from last revision</a:t>
          </a:r>
        </a:p>
      </xdr:txBody>
    </xdr:sp>
    <xdr:clientData/>
  </xdr:twoCellAnchor>
  <xdr:twoCellAnchor>
    <xdr:from>
      <xdr:col>21</xdr:col>
      <xdr:colOff>187157</xdr:colOff>
      <xdr:row>16</xdr:row>
      <xdr:rowOff>78364</xdr:rowOff>
    </xdr:from>
    <xdr:to>
      <xdr:col>22</xdr:col>
      <xdr:colOff>40106</xdr:colOff>
      <xdr:row>18</xdr:row>
      <xdr:rowOff>122171</xdr:rowOff>
    </xdr:to>
    <xdr:sp macro="" textlink="">
      <xdr:nvSpPr>
        <xdr:cNvPr id="6" name="TextBox 5">
          <a:extLst>
            <a:ext uri="{FF2B5EF4-FFF2-40B4-BE49-F238E27FC236}">
              <a16:creationId xmlns:a16="http://schemas.microsoft.com/office/drawing/2014/main" id="{00000000-0008-0000-0100-000006000000}"/>
            </a:ext>
          </a:extLst>
        </xdr:cNvPr>
        <xdr:cNvSpPr txBox="1"/>
      </xdr:nvSpPr>
      <xdr:spPr>
        <a:xfrm>
          <a:off x="17150449" y="2762949"/>
          <a:ext cx="638395" cy="37205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lstStyle/>
        <a:p>
          <a:r>
            <a:rPr lang="en-US" sz="1100">
              <a:solidFill>
                <a:srgbClr val="FF0000"/>
              </a:solidFill>
            </a:rPr>
            <a:t>Text</a:t>
          </a:r>
        </a:p>
      </xdr:txBody>
    </xdr:sp>
    <xdr:clientData/>
  </xdr:twoCellAnchor>
  <xdr:twoCellAnchor>
    <xdr:from>
      <xdr:col>22</xdr:col>
      <xdr:colOff>80210</xdr:colOff>
      <xdr:row>16</xdr:row>
      <xdr:rowOff>78364</xdr:rowOff>
    </xdr:from>
    <xdr:to>
      <xdr:col>24</xdr:col>
      <xdr:colOff>173790</xdr:colOff>
      <xdr:row>19</xdr:row>
      <xdr:rowOff>37543</xdr:rowOff>
    </xdr:to>
    <xdr:sp macro="" textlink="">
      <xdr:nvSpPr>
        <xdr:cNvPr id="7" name="TextBox 6">
          <a:extLst>
            <a:ext uri="{FF2B5EF4-FFF2-40B4-BE49-F238E27FC236}">
              <a16:creationId xmlns:a16="http://schemas.microsoft.com/office/drawing/2014/main" id="{00000000-0008-0000-0100-000007000000}"/>
            </a:ext>
          </a:extLst>
        </xdr:cNvPr>
        <xdr:cNvSpPr txBox="1"/>
      </xdr:nvSpPr>
      <xdr:spPr>
        <a:xfrm>
          <a:off x="17828948" y="2762949"/>
          <a:ext cx="1664473" cy="4515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horz" wrap="square" rtlCol="0" anchor="t"/>
        <a:lstStyle/>
        <a:p>
          <a:r>
            <a:rPr lang="en-US" sz="1100"/>
            <a:t>Minor updates (renaming, renumbering)</a:t>
          </a:r>
        </a:p>
      </xdr:txBody>
    </xdr:sp>
    <xdr:clientData/>
  </xdr:twoCellAnchor>
  <xdr:twoCellAnchor>
    <xdr:from>
      <xdr:col>9</xdr:col>
      <xdr:colOff>105516</xdr:colOff>
      <xdr:row>51</xdr:row>
      <xdr:rowOff>31977</xdr:rowOff>
    </xdr:from>
    <xdr:to>
      <xdr:col>9</xdr:col>
      <xdr:colOff>574440</xdr:colOff>
      <xdr:row>53</xdr:row>
      <xdr:rowOff>8531</xdr:rowOff>
    </xdr:to>
    <xdr:sp macro="" textlink="">
      <xdr:nvSpPr>
        <xdr:cNvPr id="11" name="TextBox 10">
          <a:extLst>
            <a:ext uri="{FF2B5EF4-FFF2-40B4-BE49-F238E27FC236}">
              <a16:creationId xmlns:a16="http://schemas.microsoft.com/office/drawing/2014/main" id="{00000000-0008-0000-0100-00000B000000}"/>
            </a:ext>
          </a:extLst>
        </xdr:cNvPr>
        <xdr:cNvSpPr txBox="1"/>
      </xdr:nvSpPr>
      <xdr:spPr>
        <a:xfrm>
          <a:off x="7913085" y="8460869"/>
          <a:ext cx="468924" cy="3048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a:t>*</a:t>
          </a:r>
        </a:p>
      </xdr:txBody>
    </xdr:sp>
    <xdr:clientData/>
  </xdr:twoCellAnchor>
  <xdr:twoCellAnchor>
    <xdr:from>
      <xdr:col>21</xdr:col>
      <xdr:colOff>304800</xdr:colOff>
      <xdr:row>21</xdr:row>
      <xdr:rowOff>11728</xdr:rowOff>
    </xdr:from>
    <xdr:to>
      <xdr:col>21</xdr:col>
      <xdr:colOff>773724</xdr:colOff>
      <xdr:row>22</xdr:row>
      <xdr:rowOff>152405</xdr:rowOff>
    </xdr:to>
    <xdr:sp macro="" textlink="">
      <xdr:nvSpPr>
        <xdr:cNvPr id="12" name="TextBox 11">
          <a:extLst>
            <a:ext uri="{FF2B5EF4-FFF2-40B4-BE49-F238E27FC236}">
              <a16:creationId xmlns:a16="http://schemas.microsoft.com/office/drawing/2014/main" id="{00000000-0008-0000-0100-00000C000000}"/>
            </a:ext>
          </a:extLst>
        </xdr:cNvPr>
        <xdr:cNvSpPr txBox="1"/>
      </xdr:nvSpPr>
      <xdr:spPr>
        <a:xfrm>
          <a:off x="17268092" y="3516928"/>
          <a:ext cx="468924" cy="304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a:t>*</a:t>
          </a:r>
        </a:p>
      </xdr:txBody>
    </xdr:sp>
    <xdr:clientData/>
  </xdr:twoCellAnchor>
  <xdr:twoCellAnchor>
    <xdr:from>
      <xdr:col>22</xdr:col>
      <xdr:colOff>46892</xdr:colOff>
      <xdr:row>20</xdr:row>
      <xdr:rowOff>128958</xdr:rowOff>
    </xdr:from>
    <xdr:to>
      <xdr:col>25</xdr:col>
      <xdr:colOff>117231</xdr:colOff>
      <xdr:row>30</xdr:row>
      <xdr:rowOff>140681</xdr:rowOff>
    </xdr:to>
    <xdr:sp macro="" textlink="">
      <xdr:nvSpPr>
        <xdr:cNvPr id="13" name="TextBox 12">
          <a:extLst>
            <a:ext uri="{FF2B5EF4-FFF2-40B4-BE49-F238E27FC236}">
              <a16:creationId xmlns:a16="http://schemas.microsoft.com/office/drawing/2014/main" id="{00000000-0008-0000-0100-00000D000000}"/>
            </a:ext>
          </a:extLst>
        </xdr:cNvPr>
        <xdr:cNvSpPr txBox="1"/>
      </xdr:nvSpPr>
      <xdr:spPr>
        <a:xfrm>
          <a:off x="17795630" y="3470035"/>
          <a:ext cx="2426678" cy="16529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horz" wrap="square" rtlCol="0" anchor="t"/>
        <a:lstStyle/>
        <a:p>
          <a:r>
            <a:rPr lang="en-US" sz="1100"/>
            <a:t>Data Communication Systems</a:t>
          </a:r>
          <a:r>
            <a:rPr lang="en-US" sz="1100" baseline="0"/>
            <a:t> to be as WP4 only if:</a:t>
          </a:r>
        </a:p>
        <a:p>
          <a:r>
            <a:rPr lang="en-US" sz="1100" baseline="0"/>
            <a:t>- WP hours &gt; 10% Eng hours</a:t>
          </a:r>
        </a:p>
        <a:p>
          <a:r>
            <a:rPr lang="en-US" sz="1100" baseline="0"/>
            <a:t>- WP hours &gt; 5% total project hours</a:t>
          </a:r>
        </a:p>
        <a:p>
          <a:r>
            <a:rPr lang="en-US" sz="1100" baseline="0"/>
            <a:t>- Visible deliverables to the Customer</a:t>
          </a:r>
        </a:p>
        <a:p>
          <a:endParaRPr lang="en-US" sz="1100" baseline="0"/>
        </a:p>
        <a:p>
          <a:r>
            <a:rPr lang="en-US" sz="1100" baseline="0"/>
            <a:t>Otherwize it will be treated as WP3.8.</a:t>
          </a:r>
        </a:p>
        <a:p>
          <a:r>
            <a:rPr lang="en-US" sz="1100" baseline="0"/>
            <a:t>Decision to be taken at Bid Phase &amp; confirmed at Project Launch Review.</a:t>
          </a:r>
          <a:endParaRPr lang="en-US" sz="1100"/>
        </a:p>
      </xdr:txBody>
    </xdr:sp>
    <xdr:clientData/>
  </xdr:twoCellAnchor>
  <mc:AlternateContent xmlns:mc="http://schemas.openxmlformats.org/markup-compatibility/2006">
    <mc:Choice xmlns:a14="http://schemas.microsoft.com/office/drawing/2010/main" Requires="a14">
      <xdr:twoCellAnchor editAs="oneCell">
        <xdr:from>
          <xdr:col>0</xdr:col>
          <xdr:colOff>107950</xdr:colOff>
          <xdr:row>2</xdr:row>
          <xdr:rowOff>88900</xdr:rowOff>
        </xdr:from>
        <xdr:to>
          <xdr:col>21</xdr:col>
          <xdr:colOff>88900</xdr:colOff>
          <xdr:row>60</xdr:row>
          <xdr:rowOff>88900</xdr:rowOff>
        </xdr:to>
        <xdr:sp macro="" textlink="">
          <xdr:nvSpPr>
            <xdr:cNvPr id="3081" name="Object 9" hidden="1">
              <a:extLst>
                <a:ext uri="{63B3BB69-23CF-44E3-9099-C40C66FF867C}">
                  <a14:compatExt spid="_x0000_s3081"/>
                </a:ext>
                <a:ext uri="{FF2B5EF4-FFF2-40B4-BE49-F238E27FC236}">
                  <a16:creationId xmlns:a16="http://schemas.microsoft.com/office/drawing/2014/main" id="{00000000-0008-0000-0100-000009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xdr:twoCellAnchor>
    <xdr:from>
      <xdr:col>14</xdr:col>
      <xdr:colOff>511296</xdr:colOff>
      <xdr:row>2</xdr:row>
      <xdr:rowOff>161926</xdr:rowOff>
    </xdr:from>
    <xdr:to>
      <xdr:col>21</xdr:col>
      <xdr:colOff>396240</xdr:colOff>
      <xdr:row>43</xdr:row>
      <xdr:rowOff>45720</xdr:rowOff>
    </xdr:to>
    <xdr:sp macro="" textlink="">
      <xdr:nvSpPr>
        <xdr:cNvPr id="2" name="TextBox 1">
          <a:extLst>
            <a:ext uri="{FF2B5EF4-FFF2-40B4-BE49-F238E27FC236}">
              <a16:creationId xmlns:a16="http://schemas.microsoft.com/office/drawing/2014/main" id="{00000000-0008-0000-0400-000002000000}"/>
            </a:ext>
          </a:extLst>
        </xdr:cNvPr>
        <xdr:cNvSpPr txBox="1"/>
      </xdr:nvSpPr>
      <xdr:spPr>
        <a:xfrm>
          <a:off x="12108936" y="550546"/>
          <a:ext cx="4761744" cy="675703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(1*) </a:t>
          </a:r>
          <a:r>
            <a:rPr lang="en-US" sz="1100" b="1"/>
            <a:t>Hardware Engineering Manager</a:t>
          </a:r>
          <a:r>
            <a:rPr lang="en-US" sz="1100" b="1" baseline="0"/>
            <a:t> (HwEM)</a:t>
          </a:r>
          <a:r>
            <a:rPr lang="en-US" sz="1100" b="1"/>
            <a:t> </a:t>
          </a:r>
          <a:r>
            <a:rPr lang="en-US" sz="1100"/>
            <a:t>is handling Hardware activities</a:t>
          </a:r>
          <a:r>
            <a:rPr lang="en-US" sz="1100" baseline="0"/>
            <a:t>  for </a:t>
          </a:r>
          <a:r>
            <a:rPr lang="en-US" sz="1100" baseline="0">
              <a:solidFill>
                <a:sysClr val="windowText" lastClr="000000"/>
              </a:solidFill>
            </a:rPr>
            <a:t>Vehicle, Wayside plus (Wayside/Central/DCS) and Tools HW.  Depending on the Project complexity this role might be split in 1 to multiple WorkPackages  Managers  reporting to the Solution Engineering Manager.</a:t>
          </a:r>
        </a:p>
        <a:p>
          <a:endParaRPr lang="en-US" sz="1100" baseline="0">
            <a:solidFill>
              <a:sysClr val="windowText" lastClr="000000"/>
            </a:solidFill>
          </a:endParaRPr>
        </a:p>
        <a:p>
          <a:r>
            <a:rPr lang="en-US" sz="1100" baseline="0">
              <a:solidFill>
                <a:sysClr val="windowText" lastClr="000000"/>
              </a:solidFill>
            </a:rPr>
            <a:t>(2*) </a:t>
          </a:r>
          <a:r>
            <a:rPr lang="en-US" sz="1100" b="1" baseline="0">
              <a:solidFill>
                <a:sysClr val="windowText" lastClr="000000"/>
              </a:solidFill>
            </a:rPr>
            <a:t>Software Engineering Manager (SwEM) </a:t>
          </a:r>
          <a:r>
            <a:rPr lang="en-US" sz="1100">
              <a:solidFill>
                <a:sysClr val="windowText" lastClr="000000"/>
              </a:solidFill>
              <a:effectLst/>
              <a:latin typeface="+mn-lt"/>
              <a:ea typeface="+mn-ea"/>
              <a:cs typeface="+mn-cs"/>
            </a:rPr>
            <a:t>is handling Software activities</a:t>
          </a:r>
          <a:r>
            <a:rPr lang="en-US" sz="1100" baseline="0">
              <a:solidFill>
                <a:sysClr val="windowText" lastClr="000000"/>
              </a:solidFill>
              <a:effectLst/>
              <a:latin typeface="+mn-lt"/>
              <a:ea typeface="+mn-ea"/>
              <a:cs typeface="+mn-cs"/>
            </a:rPr>
            <a:t>  for Vehicle, Wayside, DCS, Central, Simulation &amp; Interlocking. Depending on the Project complexity this role might be split in 1 to multiple </a:t>
          </a:r>
          <a:r>
            <a:rPr lang="en-US" sz="1100" baseline="0">
              <a:solidFill>
                <a:schemeClr val="dk1"/>
              </a:solidFill>
              <a:effectLst/>
              <a:latin typeface="+mn-lt"/>
              <a:ea typeface="+mn-ea"/>
              <a:cs typeface="+mn-cs"/>
            </a:rPr>
            <a:t>WorkPackages  Managers  reporting to the Solution Engineering Manager.</a:t>
          </a:r>
        </a:p>
        <a:p>
          <a:endParaRPr lang="en-US" sz="1100" baseline="0">
            <a:solidFill>
              <a:schemeClr val="dk1"/>
            </a:solidFill>
            <a:effectLst/>
            <a:latin typeface="+mn-lt"/>
            <a:ea typeface="+mn-ea"/>
            <a:cs typeface="+mn-cs"/>
          </a:endParaRPr>
        </a:p>
        <a:p>
          <a:r>
            <a:rPr lang="en-US" sz="1100" baseline="0">
              <a:solidFill>
                <a:schemeClr val="dk1"/>
              </a:solidFill>
              <a:effectLst/>
              <a:latin typeface="+mn-lt"/>
              <a:ea typeface="+mn-ea"/>
              <a:cs typeface="+mn-cs"/>
            </a:rPr>
            <a:t>(3*) </a:t>
          </a:r>
          <a:r>
            <a:rPr lang="en-US" sz="1100" b="1" baseline="0">
              <a:solidFill>
                <a:schemeClr val="dk1"/>
              </a:solidFill>
              <a:effectLst/>
              <a:latin typeface="+mn-lt"/>
              <a:ea typeface="+mn-ea"/>
              <a:cs typeface="+mn-cs"/>
            </a:rPr>
            <a:t>Training </a:t>
          </a:r>
          <a:r>
            <a:rPr lang="en-US" sz="1100" baseline="0">
              <a:solidFill>
                <a:schemeClr val="dk1"/>
              </a:solidFill>
              <a:effectLst/>
              <a:latin typeface="+mn-lt"/>
              <a:ea typeface="+mn-ea"/>
              <a:cs typeface="+mn-cs"/>
            </a:rPr>
            <a:t>also encompasses Documentation Management, Publication &amp; Data Records</a:t>
          </a:r>
          <a:endParaRPr lang="en-US">
            <a:effectLst/>
          </a:endParaRPr>
        </a:p>
        <a:p>
          <a:endParaRPr lang="en-US" sz="1100">
            <a:solidFill>
              <a:schemeClr val="dk1"/>
            </a:solidFill>
            <a:effectLst/>
            <a:latin typeface="+mn-lt"/>
            <a:ea typeface="+mn-ea"/>
            <a:cs typeface="+mn-cs"/>
          </a:endParaRPr>
        </a:p>
        <a:p>
          <a:r>
            <a:rPr lang="en-US" sz="1100">
              <a:solidFill>
                <a:schemeClr val="dk1"/>
              </a:solidFill>
              <a:effectLst/>
              <a:latin typeface="+mn-lt"/>
              <a:ea typeface="+mn-ea"/>
              <a:cs typeface="+mn-cs"/>
            </a:rPr>
            <a:t>(4*) </a:t>
          </a:r>
          <a:r>
            <a:rPr lang="en-US" sz="1100" b="1">
              <a:solidFill>
                <a:schemeClr val="dk1"/>
              </a:solidFill>
              <a:effectLst/>
              <a:latin typeface="+mn-lt"/>
              <a:ea typeface="+mn-ea"/>
              <a:cs typeface="+mn-cs"/>
            </a:rPr>
            <a:t>Lifecycle Support </a:t>
          </a:r>
          <a:r>
            <a:rPr lang="en-US" sz="1100" baseline="0">
              <a:solidFill>
                <a:schemeClr val="dk1"/>
              </a:solidFill>
              <a:effectLst/>
              <a:latin typeface="+mn-lt"/>
              <a:ea typeface="+mn-ea"/>
              <a:cs typeface="+mn-cs"/>
            </a:rPr>
            <a:t>encompasses the following Chorus' activities : Repair Management, Spare Parts Management, Service Engineering Management (SVEM), Obsolescence Management and Warranty Management.</a:t>
          </a:r>
          <a:endParaRPr lang="en-US">
            <a:effectLst/>
          </a:endParaRPr>
        </a:p>
        <a:p>
          <a:endParaRPr lang="en-US" baseline="0">
            <a:effectLst/>
          </a:endParaRPr>
        </a:p>
        <a:p>
          <a:r>
            <a:rPr lang="en-US" baseline="0">
              <a:effectLst/>
            </a:rPr>
            <a:t>(5*) </a:t>
          </a:r>
          <a:r>
            <a:rPr lang="en-US" b="1" baseline="0">
              <a:effectLst/>
            </a:rPr>
            <a:t>Safety Lead </a:t>
          </a:r>
          <a:r>
            <a:rPr lang="en-US" baseline="0">
              <a:effectLst/>
            </a:rPr>
            <a:t>and </a:t>
          </a:r>
          <a:r>
            <a:rPr lang="en-US" b="1" baseline="0">
              <a:effectLst/>
            </a:rPr>
            <a:t>RAM Lead </a:t>
          </a:r>
          <a:r>
            <a:rPr lang="en-US" baseline="0">
              <a:effectLst/>
            </a:rPr>
            <a:t>are  considered to be the Specialists (SpE) required to attend DDQS gates.</a:t>
          </a:r>
        </a:p>
        <a:p>
          <a:endParaRPr lang="en-US" baseline="0">
            <a:effectLst/>
          </a:endParaRPr>
        </a:p>
        <a:p>
          <a:r>
            <a:rPr lang="en-US" baseline="0">
              <a:effectLst/>
            </a:rPr>
            <a:t>(6*) </a:t>
          </a:r>
          <a:r>
            <a:rPr lang="en-US" b="1" baseline="0">
              <a:effectLst/>
            </a:rPr>
            <a:t>Safety Assurance Manager (SAM) </a:t>
          </a:r>
          <a:r>
            <a:rPr lang="en-US" b="0" baseline="0">
              <a:effectLst/>
            </a:rPr>
            <a:t>is the Technical Safety decision maker for all DDQ gates. For software and hardware level gates, the SAM role will normally be delegated to IVAL by the SAM.</a:t>
          </a:r>
          <a:endParaRPr lang="en-US" baseline="0">
            <a:effectLst/>
          </a:endParaRPr>
        </a:p>
        <a:p>
          <a:endParaRPr lang="en-US" baseline="0">
            <a:solidFill>
              <a:sysClr val="windowText" lastClr="000000"/>
            </a:solidFill>
            <a:effectLst/>
          </a:endParaRPr>
        </a:p>
        <a:p>
          <a:r>
            <a:rPr lang="en-US" baseline="0">
              <a:solidFill>
                <a:sysClr val="windowText" lastClr="000000"/>
              </a:solidFill>
              <a:effectLst/>
            </a:rPr>
            <a:t>(7*) Depending on the project size &amp; complexity, the </a:t>
          </a:r>
          <a:r>
            <a:rPr lang="en-US" b="1" baseline="0">
              <a:solidFill>
                <a:sysClr val="windowText" lastClr="000000"/>
              </a:solidFill>
              <a:effectLst/>
            </a:rPr>
            <a:t>PSM</a:t>
          </a:r>
          <a:r>
            <a:rPr lang="en-US" baseline="0">
              <a:solidFill>
                <a:sysClr val="windowText" lastClr="000000"/>
              </a:solidFill>
              <a:effectLst/>
            </a:rPr>
            <a:t> and the </a:t>
          </a:r>
          <a:r>
            <a:rPr lang="en-US" b="1" baseline="0">
              <a:solidFill>
                <a:sysClr val="windowText" lastClr="000000"/>
              </a:solidFill>
              <a:effectLst/>
            </a:rPr>
            <a:t>Safety Engineering Lead </a:t>
          </a:r>
          <a:r>
            <a:rPr lang="en-US" baseline="0">
              <a:solidFill>
                <a:sysClr val="windowText" lastClr="000000"/>
              </a:solidFill>
              <a:effectLst/>
            </a:rPr>
            <a:t>roles can be performed by the same person.</a:t>
          </a:r>
        </a:p>
        <a:p>
          <a:endParaRPr lang="en-US" baseline="0">
            <a:solidFill>
              <a:sysClr val="windowText" lastClr="000000"/>
            </a:solidFill>
            <a:effectLst/>
          </a:endParaRPr>
        </a:p>
        <a:p>
          <a:r>
            <a:rPr lang="en-US" baseline="0">
              <a:solidFill>
                <a:sysClr val="windowText" lastClr="000000"/>
              </a:solidFill>
              <a:effectLst/>
            </a:rPr>
            <a:t>(8*) if the Data Communication Systems WP is in WP3, the </a:t>
          </a:r>
          <a:r>
            <a:rPr lang="en-US" b="1" baseline="0">
              <a:solidFill>
                <a:sysClr val="windowText" lastClr="000000"/>
              </a:solidFill>
              <a:effectLst/>
            </a:rPr>
            <a:t>DCSM</a:t>
          </a:r>
          <a:r>
            <a:rPr lang="en-US" baseline="0">
              <a:solidFill>
                <a:sysClr val="windowText" lastClr="000000"/>
              </a:solidFill>
              <a:effectLst/>
            </a:rPr>
            <a:t> reports to the SEM. if it is in WP4, the </a:t>
          </a:r>
          <a:r>
            <a:rPr lang="en-US" b="1" baseline="0">
              <a:solidFill>
                <a:sysClr val="windowText" lastClr="000000"/>
              </a:solidFill>
              <a:effectLst/>
            </a:rPr>
            <a:t>DCSM</a:t>
          </a:r>
          <a:r>
            <a:rPr lang="en-US" baseline="0">
              <a:solidFill>
                <a:sysClr val="windowText" lastClr="000000"/>
              </a:solidFill>
              <a:effectLst/>
            </a:rPr>
            <a:t> will report to the PM.</a:t>
          </a:r>
        </a:p>
        <a:p>
          <a:endParaRPr lang="en-US" baseline="0">
            <a:solidFill>
              <a:sysClr val="windowText" lastClr="000000"/>
            </a:solidFill>
            <a:effectLst/>
          </a:endParaRPr>
        </a:p>
        <a:p>
          <a:r>
            <a:rPr lang="en-US" baseline="0">
              <a:solidFill>
                <a:sysClr val="windowText" lastClr="000000"/>
              </a:solidFill>
              <a:effectLst/>
            </a:rPr>
            <a:t>(9*) </a:t>
          </a:r>
          <a:r>
            <a:rPr lang="en-US" b="1" baseline="0">
              <a:solidFill>
                <a:sysClr val="windowText" lastClr="000000"/>
              </a:solidFill>
              <a:effectLst/>
            </a:rPr>
            <a:t>Chief Engineering Architect </a:t>
          </a:r>
          <a:r>
            <a:rPr lang="en-US" b="0" baseline="0">
              <a:solidFill>
                <a:sysClr val="windowText" lastClr="000000"/>
              </a:solidFill>
              <a:effectLst/>
            </a:rPr>
            <a:t>is appointed exclusively on selected  Bids or Projects  that have high technical /engineering complexity or instability. He defines (with the PM) the technical and development organisation within the project. The Chief Engineer has overall responsibility over PDA and SEM activities. PDA and/or SEM roles can be allocated to the Chief Engineer when relevant.</a:t>
          </a:r>
        </a:p>
        <a:p>
          <a:endParaRPr lang="en-US" b="0" baseline="0">
            <a:solidFill>
              <a:sysClr val="windowText" lastClr="000000"/>
            </a:solidFill>
            <a:effectLst/>
          </a:endParaRPr>
        </a:p>
        <a:p>
          <a:r>
            <a:rPr lang="en-US" b="0" baseline="0">
              <a:solidFill>
                <a:sysClr val="windowText" lastClr="000000"/>
              </a:solidFill>
              <a:effectLst/>
            </a:rPr>
            <a:t>The role of PPTM (Producttion Process Technology Managemt) is deemed not to be applicable to our business.</a:t>
          </a:r>
          <a:endParaRPr lang="en-US" sz="1100">
            <a:solidFill>
              <a:sysClr val="windowText" lastClr="000000"/>
            </a:solidFill>
            <a:effectLst/>
            <a:latin typeface="+mn-lt"/>
            <a:ea typeface="+mn-ea"/>
            <a:cs typeface="+mn-cs"/>
          </a:endParaRPr>
        </a:p>
      </xdr:txBody>
    </xdr:sp>
    <xdr:clientData/>
  </xdr:twoCellAnchor>
  <xdr:twoCellAnchor>
    <xdr:from>
      <xdr:col>0</xdr:col>
      <xdr:colOff>69799</xdr:colOff>
      <xdr:row>1</xdr:row>
      <xdr:rowOff>37389</xdr:rowOff>
    </xdr:from>
    <xdr:to>
      <xdr:col>2</xdr:col>
      <xdr:colOff>717732</xdr:colOff>
      <xdr:row>2</xdr:row>
      <xdr:rowOff>111429</xdr:rowOff>
    </xdr:to>
    <xdr:sp macro="" textlink="">
      <xdr:nvSpPr>
        <xdr:cNvPr id="3" name="TextBox 2">
          <a:extLst>
            <a:ext uri="{FF2B5EF4-FFF2-40B4-BE49-F238E27FC236}">
              <a16:creationId xmlns:a16="http://schemas.microsoft.com/office/drawing/2014/main" id="{00000000-0008-0000-0400-000003000000}"/>
            </a:ext>
          </a:extLst>
        </xdr:cNvPr>
        <xdr:cNvSpPr txBox="1"/>
      </xdr:nvSpPr>
      <xdr:spPr>
        <a:xfrm>
          <a:off x="69799" y="258369"/>
          <a:ext cx="1905233" cy="241680"/>
        </a:xfrm>
        <a:prstGeom prst="rect">
          <a:avLst/>
        </a:prstGeom>
        <a:solidFill>
          <a:schemeClr val="lt1"/>
        </a:solidFill>
        <a:ln w="9525"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rgbClr val="FF0000"/>
              </a:solidFill>
            </a:rPr>
            <a:t>EMBEDDED VISIO</a:t>
          </a:r>
          <a:r>
            <a:rPr lang="en-US" sz="1100" baseline="0">
              <a:solidFill>
                <a:srgbClr val="FF0000"/>
              </a:solidFill>
            </a:rPr>
            <a:t> DRAWING</a:t>
          </a:r>
          <a:endParaRPr lang="en-US" sz="1100">
            <a:solidFill>
              <a:srgbClr val="FF0000"/>
            </a:solidFill>
          </a:endParaRPr>
        </a:p>
      </xdr:txBody>
    </xdr:sp>
    <xdr:clientData/>
  </xdr:twoCellAnchor>
  <xdr:twoCellAnchor>
    <xdr:from>
      <xdr:col>14</xdr:col>
      <xdr:colOff>521752</xdr:colOff>
      <xdr:row>46</xdr:row>
      <xdr:rowOff>83820</xdr:rowOff>
    </xdr:from>
    <xdr:to>
      <xdr:col>21</xdr:col>
      <xdr:colOff>388620</xdr:colOff>
      <xdr:row>49</xdr:row>
      <xdr:rowOff>53340</xdr:rowOff>
    </xdr:to>
    <xdr:sp macro="" textlink="">
      <xdr:nvSpPr>
        <xdr:cNvPr id="4" name="TextBox 3">
          <a:extLst>
            <a:ext uri="{FF2B5EF4-FFF2-40B4-BE49-F238E27FC236}">
              <a16:creationId xmlns:a16="http://schemas.microsoft.com/office/drawing/2014/main" id="{00000000-0008-0000-0400-000004000000}"/>
            </a:ext>
          </a:extLst>
        </xdr:cNvPr>
        <xdr:cNvSpPr txBox="1"/>
      </xdr:nvSpPr>
      <xdr:spPr>
        <a:xfrm>
          <a:off x="12119392" y="7848600"/>
          <a:ext cx="4743668" cy="4724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rgbClr val="FF0000"/>
              </a:solidFill>
            </a:rPr>
            <a:t>Please note that the OBS revision</a:t>
          </a:r>
          <a:r>
            <a:rPr lang="en-US" sz="1100" baseline="0">
              <a:solidFill>
                <a:srgbClr val="FF0000"/>
              </a:solidFill>
            </a:rPr>
            <a:t> </a:t>
          </a:r>
          <a:r>
            <a:rPr lang="en-US" sz="1100">
              <a:solidFill>
                <a:srgbClr val="FF0000"/>
              </a:solidFill>
            </a:rPr>
            <a:t>number (top right) </a:t>
          </a:r>
          <a:r>
            <a:rPr lang="en-US" sz="1100">
              <a:solidFill>
                <a:srgbClr val="FF0000"/>
              </a:solidFill>
              <a:effectLst/>
              <a:latin typeface="+mn-lt"/>
              <a:ea typeface="+mn-ea"/>
              <a:cs typeface="+mn-cs"/>
            </a:rPr>
            <a:t>is to be kept for version traceablility. </a:t>
          </a:r>
          <a:endParaRPr lang="en-US" sz="1100">
            <a:solidFill>
              <a:srgbClr val="FF0000"/>
            </a:solidFill>
          </a:endParaRPr>
        </a:p>
      </xdr:txBody>
    </xdr:sp>
    <xdr:clientData/>
  </xdr:twoCellAnchor>
  <xdr:twoCellAnchor>
    <xdr:from>
      <xdr:col>14</xdr:col>
      <xdr:colOff>526068</xdr:colOff>
      <xdr:row>43</xdr:row>
      <xdr:rowOff>99060</xdr:rowOff>
    </xdr:from>
    <xdr:to>
      <xdr:col>21</xdr:col>
      <xdr:colOff>403859</xdr:colOff>
      <xdr:row>46</xdr:row>
      <xdr:rowOff>39891</xdr:rowOff>
    </xdr:to>
    <xdr:sp macro="" textlink="">
      <xdr:nvSpPr>
        <xdr:cNvPr id="5" name="TextBox 4">
          <a:extLst>
            <a:ext uri="{FF2B5EF4-FFF2-40B4-BE49-F238E27FC236}">
              <a16:creationId xmlns:a16="http://schemas.microsoft.com/office/drawing/2014/main" id="{00000000-0008-0000-0400-000005000000}"/>
            </a:ext>
          </a:extLst>
        </xdr:cNvPr>
        <xdr:cNvSpPr txBox="1"/>
      </xdr:nvSpPr>
      <xdr:spPr>
        <a:xfrm>
          <a:off x="12123708" y="7360920"/>
          <a:ext cx="4754591" cy="44375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ysClr val="windowText" lastClr="000000"/>
              </a:solidFill>
            </a:rPr>
            <a:t>For a definition</a:t>
          </a:r>
          <a:r>
            <a:rPr lang="en-US" sz="1100" baseline="0">
              <a:solidFill>
                <a:sysClr val="windowText" lastClr="000000"/>
              </a:solidFill>
            </a:rPr>
            <a:t> of the Project Core team, please refer to the </a:t>
          </a:r>
          <a:r>
            <a:rPr lang="fr-FR" sz="1100">
              <a:solidFill>
                <a:sysClr val="windowText" lastClr="000000"/>
              </a:solidFill>
              <a:effectLst/>
              <a:latin typeface="+mn-lt"/>
              <a:ea typeface="+mn-ea"/>
              <a:cs typeface="+mn-cs"/>
            </a:rPr>
            <a:t>83410863-PRJ-CAN-EN URS Project Progress Review Instructions</a:t>
          </a:r>
          <a:endParaRPr lang="en-US" sz="1100">
            <a:solidFill>
              <a:sysClr val="windowText" lastClr="000000"/>
            </a:solidFill>
          </a:endParaRPr>
        </a:p>
      </xdr:txBody>
    </xdr:sp>
    <xdr:clientData/>
  </xdr:twoCellAnchor>
  <mc:AlternateContent xmlns:mc="http://schemas.openxmlformats.org/markup-compatibility/2006">
    <mc:Choice xmlns:a14="http://schemas.microsoft.com/office/drawing/2010/main" Requires="a14">
      <xdr:twoCellAnchor editAs="oneCell">
        <xdr:from>
          <xdr:col>0</xdr:col>
          <xdr:colOff>76200</xdr:colOff>
          <xdr:row>3</xdr:row>
          <xdr:rowOff>25400</xdr:rowOff>
        </xdr:from>
        <xdr:to>
          <xdr:col>14</xdr:col>
          <xdr:colOff>444500</xdr:colOff>
          <xdr:row>46</xdr:row>
          <xdr:rowOff>76200</xdr:rowOff>
        </xdr:to>
        <xdr:sp macro="" textlink="">
          <xdr:nvSpPr>
            <xdr:cNvPr id="5126" name="Object 6" hidden="1">
              <a:extLst>
                <a:ext uri="{63B3BB69-23CF-44E3-9099-C40C66FF867C}">
                  <a14:compatExt spid="_x0000_s5126"/>
                </a:ext>
                <a:ext uri="{FF2B5EF4-FFF2-40B4-BE49-F238E27FC236}">
                  <a16:creationId xmlns:a16="http://schemas.microsoft.com/office/drawing/2014/main" id="{00000000-0008-0000-0400-0000061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drawings/drawing4.xml><?xml version="1.0" encoding="utf-8"?>
<xdr:wsDr xmlns:xdr="http://schemas.openxmlformats.org/drawingml/2006/spreadsheetDrawing" xmlns:a="http://schemas.openxmlformats.org/drawingml/2006/main">
  <xdr:twoCellAnchor>
    <xdr:from>
      <xdr:col>35</xdr:col>
      <xdr:colOff>50512</xdr:colOff>
      <xdr:row>2</xdr:row>
      <xdr:rowOff>162881</xdr:rowOff>
    </xdr:from>
    <xdr:to>
      <xdr:col>37</xdr:col>
      <xdr:colOff>181601</xdr:colOff>
      <xdr:row>7</xdr:row>
      <xdr:rowOff>133558</xdr:rowOff>
    </xdr:to>
    <xdr:sp macro="" textlink="">
      <xdr:nvSpPr>
        <xdr:cNvPr id="2" name="TextBox 1">
          <a:extLst>
            <a:ext uri="{FF2B5EF4-FFF2-40B4-BE49-F238E27FC236}">
              <a16:creationId xmlns:a16="http://schemas.microsoft.com/office/drawing/2014/main" id="{00000000-0008-0000-0500-000002000000}"/>
            </a:ext>
          </a:extLst>
        </xdr:cNvPr>
        <xdr:cNvSpPr txBox="1"/>
      </xdr:nvSpPr>
      <xdr:spPr>
        <a:xfrm>
          <a:off x="26926700" y="557328"/>
          <a:ext cx="1708877" cy="82232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rgbClr val="FF0000"/>
              </a:solidFill>
            </a:rPr>
            <a:t>Please note that the CBS revision</a:t>
          </a:r>
          <a:r>
            <a:rPr lang="en-US" sz="1100" baseline="0">
              <a:solidFill>
                <a:srgbClr val="FF0000"/>
              </a:solidFill>
            </a:rPr>
            <a:t> </a:t>
          </a:r>
          <a:r>
            <a:rPr lang="en-US" sz="1100">
              <a:solidFill>
                <a:srgbClr val="FF0000"/>
              </a:solidFill>
            </a:rPr>
            <a:t>number (bottom right) </a:t>
          </a:r>
          <a:r>
            <a:rPr lang="en-US" sz="1100">
              <a:solidFill>
                <a:srgbClr val="FF0000"/>
              </a:solidFill>
              <a:effectLst/>
              <a:latin typeface="+mn-lt"/>
              <a:ea typeface="+mn-ea"/>
              <a:cs typeface="+mn-cs"/>
            </a:rPr>
            <a:t>is to be kept for version traceablility. </a:t>
          </a:r>
          <a:endParaRPr lang="en-US" sz="1100">
            <a:solidFill>
              <a:srgbClr val="FF0000"/>
            </a:solidFill>
          </a:endParaRPr>
        </a:p>
      </xdr:txBody>
    </xdr:sp>
    <xdr:clientData/>
  </xdr:twoCellAnchor>
  <xdr:twoCellAnchor>
    <xdr:from>
      <xdr:col>35</xdr:col>
      <xdr:colOff>555813</xdr:colOff>
      <xdr:row>9</xdr:row>
      <xdr:rowOff>71718</xdr:rowOff>
    </xdr:from>
    <xdr:to>
      <xdr:col>38</xdr:col>
      <xdr:colOff>615808</xdr:colOff>
      <xdr:row>19</xdr:row>
      <xdr:rowOff>21378</xdr:rowOff>
    </xdr:to>
    <xdr:sp macro="" textlink="">
      <xdr:nvSpPr>
        <xdr:cNvPr id="4" name="TextBox 3">
          <a:extLst>
            <a:ext uri="{FF2B5EF4-FFF2-40B4-BE49-F238E27FC236}">
              <a16:creationId xmlns:a16="http://schemas.microsoft.com/office/drawing/2014/main" id="{00000000-0008-0000-0500-000004000000}"/>
            </a:ext>
          </a:extLst>
        </xdr:cNvPr>
        <xdr:cNvSpPr txBox="1"/>
      </xdr:nvSpPr>
      <xdr:spPr>
        <a:xfrm>
          <a:off x="27432001" y="1658471"/>
          <a:ext cx="2426678" cy="16529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horz" wrap="square" rtlCol="0" anchor="t"/>
        <a:lstStyle/>
        <a:p>
          <a:r>
            <a:rPr lang="en-US" sz="1100"/>
            <a:t>Data Communication Systems</a:t>
          </a:r>
          <a:r>
            <a:rPr lang="en-US" sz="1100" baseline="0"/>
            <a:t> to be as WP4 only if:</a:t>
          </a:r>
        </a:p>
        <a:p>
          <a:r>
            <a:rPr lang="en-US" sz="1100" baseline="0"/>
            <a:t>- WP hours &gt; 10% Eng hours</a:t>
          </a:r>
        </a:p>
        <a:p>
          <a:r>
            <a:rPr lang="en-US" sz="1100" baseline="0"/>
            <a:t>- WP hours &gt; 5% total project hours</a:t>
          </a:r>
        </a:p>
        <a:p>
          <a:r>
            <a:rPr lang="en-US" sz="1100" baseline="0"/>
            <a:t>- Visible deliverables to the Customer</a:t>
          </a:r>
        </a:p>
        <a:p>
          <a:endParaRPr lang="en-US" sz="1100" baseline="0"/>
        </a:p>
        <a:p>
          <a:r>
            <a:rPr lang="en-US" sz="1100" baseline="0"/>
            <a:t>Otherwize it will be treated as WP3.8.</a:t>
          </a:r>
        </a:p>
        <a:p>
          <a:r>
            <a:rPr lang="en-US" sz="1100" baseline="0"/>
            <a:t>Decision to be taken at Bid Phase &amp; confirmed at Project Launch Review.</a:t>
          </a:r>
          <a:endParaRPr lang="en-US" sz="1100"/>
        </a:p>
      </xdr:txBody>
    </xdr:sp>
    <xdr:clientData/>
  </xdr:twoCellAnchor>
  <xdr:twoCellAnchor>
    <xdr:from>
      <xdr:col>35</xdr:col>
      <xdr:colOff>71718</xdr:colOff>
      <xdr:row>9</xdr:row>
      <xdr:rowOff>80682</xdr:rowOff>
    </xdr:from>
    <xdr:to>
      <xdr:col>35</xdr:col>
      <xdr:colOff>540642</xdr:colOff>
      <xdr:row>11</xdr:row>
      <xdr:rowOff>44823</xdr:rowOff>
    </xdr:to>
    <xdr:sp macro="" textlink="">
      <xdr:nvSpPr>
        <xdr:cNvPr id="5" name="TextBox 4">
          <a:extLst>
            <a:ext uri="{FF2B5EF4-FFF2-40B4-BE49-F238E27FC236}">
              <a16:creationId xmlns:a16="http://schemas.microsoft.com/office/drawing/2014/main" id="{00000000-0008-0000-0500-000005000000}"/>
            </a:ext>
          </a:extLst>
        </xdr:cNvPr>
        <xdr:cNvSpPr txBox="1"/>
      </xdr:nvSpPr>
      <xdr:spPr>
        <a:xfrm>
          <a:off x="26947906" y="1667435"/>
          <a:ext cx="468924" cy="304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a:t>*</a:t>
          </a:r>
        </a:p>
      </xdr:txBody>
    </xdr:sp>
    <xdr:clientData/>
  </xdr:twoCellAnchor>
  <mc:AlternateContent xmlns:mc="http://schemas.openxmlformats.org/markup-compatibility/2006">
    <mc:Choice xmlns:a14="http://schemas.microsoft.com/office/drawing/2010/main" Requires="a14">
      <xdr:twoCellAnchor editAs="oneCell">
        <xdr:from>
          <xdr:col>0</xdr:col>
          <xdr:colOff>63500</xdr:colOff>
          <xdr:row>3</xdr:row>
          <xdr:rowOff>12700</xdr:rowOff>
        </xdr:from>
        <xdr:to>
          <xdr:col>34</xdr:col>
          <xdr:colOff>577850</xdr:colOff>
          <xdr:row>69</xdr:row>
          <xdr:rowOff>69850</xdr:rowOff>
        </xdr:to>
        <xdr:sp macro="" textlink="">
          <xdr:nvSpPr>
            <xdr:cNvPr id="6149" name="Object 5" hidden="1">
              <a:extLst>
                <a:ext uri="{63B3BB69-23CF-44E3-9099-C40C66FF867C}">
                  <a14:compatExt spid="_x0000_s6149"/>
                </a:ext>
                <a:ext uri="{FF2B5EF4-FFF2-40B4-BE49-F238E27FC236}">
                  <a16:creationId xmlns:a16="http://schemas.microsoft.com/office/drawing/2014/main" id="{00000000-0008-0000-0500-0000051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persons/person.xml><?xml version="1.0" encoding="utf-8"?>
<personList xmlns="http://schemas.microsoft.com/office/spreadsheetml/2018/threadedcomments" xmlns:x="http://schemas.openxmlformats.org/spreadsheetml/2006/main">
  <person displayName="DELEVACQUE Thomas" id="{DEEDE343-C6C7-48C4-B127-15059DDAB58B}" userId="thomas.delevacque@urbanandmainlines.com" providerId="PeoplePicker"/>
  <person displayName="ANTAL Adriana" id="{64F12C7E-2C71-412A-A9CC-0D4E179F4827}" userId="S::adriana.antal@urbanandmainlines.com::dc879733-5025-4738-8321-7eaf679d84c0" providerId="AD"/>
</personList>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B44" dT="2025-02-12T21:23:07.10" personId="{64F12C7E-2C71-412A-A9CC-0D4E179F4827}" id="{22B5D0B4-44E9-4FB5-8F0B-E49A025521D3}">
    <text>@DELEVACQUE Thomas Remove TCTS references</text>
    <mentions>
      <mention mentionpersonId="{DEEDE343-C6C7-48C4-B127-15059DDAB58B}" mentionId="{B5C64E0C-3A3A-41BE-AC33-CD6B7D93ABED}" startIndex="0" length="18"/>
    </mentions>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2.emf"/><Relationship Id="rId4" Type="http://schemas.openxmlformats.org/officeDocument/2006/relationships/package" Target="../embeddings/Microsoft_Visio_Drawing.vsdx"/></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3.vml"/><Relationship Id="rId1" Type="http://schemas.openxmlformats.org/officeDocument/2006/relationships/printerSettings" Target="../printerSettings/printerSettings4.bin"/><Relationship Id="rId4" Type="http://schemas.microsoft.com/office/2017/10/relationships/threadedComment" Target="../threadedComments/threadedComment1.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3.xml"/><Relationship Id="rId1" Type="http://schemas.openxmlformats.org/officeDocument/2006/relationships/printerSettings" Target="../printerSettings/printerSettings5.bin"/><Relationship Id="rId5" Type="http://schemas.openxmlformats.org/officeDocument/2006/relationships/image" Target="../media/image3.emf"/><Relationship Id="rId4" Type="http://schemas.openxmlformats.org/officeDocument/2006/relationships/package" Target="../embeddings/Microsoft_Visio_Drawing1.vsdx"/></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4.xml"/><Relationship Id="rId1" Type="http://schemas.openxmlformats.org/officeDocument/2006/relationships/printerSettings" Target="../printerSettings/printerSettings6.bin"/><Relationship Id="rId5" Type="http://schemas.openxmlformats.org/officeDocument/2006/relationships/image" Target="../media/image4.emf"/><Relationship Id="rId4" Type="http://schemas.openxmlformats.org/officeDocument/2006/relationships/package" Target="../embeddings/Microsoft_Visio_Drawing2.vsdx"/></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indexed="22"/>
    <pageSetUpPr fitToPage="1"/>
  </sheetPr>
  <dimension ref="A1:U46"/>
  <sheetViews>
    <sheetView showGridLines="0" tabSelected="1" topLeftCell="A3" zoomScaleNormal="100" zoomScaleSheetLayoutView="100" workbookViewId="0">
      <selection activeCell="B30" sqref="B30"/>
    </sheetView>
  </sheetViews>
  <sheetFormatPr defaultColWidth="11.42578125" defaultRowHeight="12.6"/>
  <cols>
    <col min="1" max="13" width="12.5703125" style="5" customWidth="1"/>
    <col min="14" max="16384" width="11.42578125" style="5"/>
  </cols>
  <sheetData>
    <row r="1" spans="1:13" ht="20.100000000000001" customHeight="1">
      <c r="A1" s="4"/>
      <c r="B1" s="4"/>
      <c r="C1" s="4"/>
      <c r="D1" s="4"/>
      <c r="E1" s="4"/>
      <c r="F1" s="4"/>
      <c r="G1" s="4"/>
      <c r="H1" s="4"/>
      <c r="I1" s="4"/>
      <c r="J1" s="4"/>
      <c r="K1" s="4"/>
      <c r="L1" s="4"/>
      <c r="M1" s="4"/>
    </row>
    <row r="2" spans="1:13" ht="20.100000000000001" customHeight="1">
      <c r="A2" s="4"/>
      <c r="B2" s="109" t="s">
        <v>0</v>
      </c>
      <c r="C2" s="4"/>
      <c r="D2" s="4"/>
      <c r="E2" s="4"/>
      <c r="F2" s="4"/>
      <c r="G2" s="15"/>
      <c r="H2" s="4"/>
      <c r="I2" s="4"/>
      <c r="J2" s="4"/>
      <c r="K2" s="4"/>
      <c r="L2" s="4"/>
      <c r="M2" s="4"/>
    </row>
    <row r="3" spans="1:13" ht="20.100000000000001" customHeight="1" thickBot="1">
      <c r="A3" s="4"/>
      <c r="B3" s="4"/>
      <c r="C3" s="4"/>
      <c r="D3" s="4"/>
      <c r="E3" s="4"/>
      <c r="F3" s="4"/>
      <c r="G3" s="4"/>
      <c r="H3" s="4"/>
      <c r="I3" s="4"/>
      <c r="J3" s="4"/>
      <c r="K3" s="4"/>
      <c r="L3" s="4"/>
      <c r="M3" s="4"/>
    </row>
    <row r="4" spans="1:13" ht="50.1" customHeight="1" thickTop="1">
      <c r="A4" s="4"/>
      <c r="B4" s="133" t="s">
        <v>1</v>
      </c>
      <c r="C4" s="134"/>
      <c r="D4" s="134"/>
      <c r="E4" s="134"/>
      <c r="F4" s="134"/>
      <c r="G4" s="134"/>
      <c r="H4" s="134"/>
      <c r="I4" s="134"/>
      <c r="J4" s="134"/>
      <c r="K4" s="134"/>
      <c r="L4" s="135"/>
      <c r="M4" s="4"/>
    </row>
    <row r="5" spans="1:13">
      <c r="A5" s="4"/>
      <c r="B5" s="4"/>
      <c r="C5" s="4"/>
      <c r="D5" s="4"/>
      <c r="E5" s="4"/>
      <c r="F5" s="4"/>
      <c r="G5" s="4"/>
      <c r="H5" s="4"/>
      <c r="I5" s="4"/>
      <c r="J5" s="4"/>
      <c r="K5" s="4"/>
      <c r="L5" s="4"/>
      <c r="M5" s="4"/>
    </row>
    <row r="6" spans="1:13">
      <c r="A6" s="4"/>
      <c r="B6" s="6" t="s">
        <v>2</v>
      </c>
      <c r="C6" s="4"/>
      <c r="D6" s="4"/>
      <c r="E6" s="4"/>
      <c r="F6" s="4"/>
      <c r="G6" s="4"/>
      <c r="H6" s="4"/>
      <c r="I6" s="4"/>
      <c r="J6" s="4"/>
      <c r="K6" s="4"/>
      <c r="L6" s="18" t="s">
        <v>3</v>
      </c>
      <c r="M6" s="4"/>
    </row>
    <row r="7" spans="1:13">
      <c r="A7" s="4"/>
      <c r="B7" s="6"/>
      <c r="C7" s="4"/>
      <c r="D7" s="4"/>
      <c r="E7" s="4"/>
      <c r="F7" s="4"/>
      <c r="G7" s="17"/>
      <c r="H7" s="4"/>
      <c r="I7" s="4"/>
      <c r="J7" s="4"/>
      <c r="K7" s="4"/>
      <c r="L7" s="18"/>
      <c r="M7" s="4"/>
    </row>
    <row r="8" spans="1:13">
      <c r="A8" s="4"/>
      <c r="B8" s="6"/>
      <c r="C8" s="4"/>
      <c r="D8" s="4"/>
      <c r="E8" s="4"/>
      <c r="F8" s="4"/>
      <c r="G8" s="17"/>
      <c r="H8" s="4"/>
      <c r="I8" s="4"/>
      <c r="J8" s="4"/>
      <c r="K8" s="4"/>
      <c r="L8" s="23"/>
      <c r="M8" s="4"/>
    </row>
    <row r="9" spans="1:13">
      <c r="A9" s="4"/>
      <c r="B9" s="4"/>
      <c r="C9" s="4"/>
      <c r="D9" s="4"/>
      <c r="E9" s="4"/>
      <c r="F9" s="4"/>
      <c r="G9" s="4"/>
      <c r="H9" s="4"/>
      <c r="I9" s="4"/>
      <c r="J9" s="4"/>
      <c r="K9" s="4"/>
      <c r="L9" s="4"/>
      <c r="M9" s="4"/>
    </row>
    <row r="10" spans="1:13" ht="71.25" customHeight="1">
      <c r="A10" s="4"/>
      <c r="B10" s="137" t="s">
        <v>4</v>
      </c>
      <c r="C10" s="137"/>
      <c r="D10" s="137"/>
      <c r="E10" s="137"/>
      <c r="F10" s="137"/>
      <c r="G10" s="137"/>
      <c r="H10" s="137"/>
      <c r="I10" s="137"/>
      <c r="J10" s="137"/>
      <c r="K10" s="137"/>
      <c r="L10" s="137"/>
      <c r="M10" s="4"/>
    </row>
    <row r="11" spans="1:13">
      <c r="A11" s="4"/>
      <c r="B11" s="20" t="s">
        <v>5</v>
      </c>
      <c r="C11" s="19"/>
      <c r="D11" s="19"/>
      <c r="E11" s="19"/>
      <c r="F11" s="19"/>
      <c r="G11" s="19"/>
      <c r="H11" s="19"/>
      <c r="I11" s="19"/>
      <c r="J11" s="19"/>
      <c r="K11" s="19"/>
      <c r="L11" s="19"/>
      <c r="M11" s="4"/>
    </row>
    <row r="12" spans="1:13">
      <c r="A12" s="4"/>
      <c r="B12" s="19"/>
      <c r="C12" s="19"/>
      <c r="D12" s="19"/>
      <c r="E12" s="19"/>
      <c r="F12" s="19"/>
      <c r="G12" s="19"/>
      <c r="H12" s="19"/>
      <c r="I12" s="19"/>
      <c r="J12" s="19"/>
      <c r="K12" s="19"/>
      <c r="L12" s="19"/>
      <c r="M12" s="4"/>
    </row>
    <row r="13" spans="1:13">
      <c r="A13" s="4"/>
      <c r="B13" s="19"/>
      <c r="C13" s="19"/>
      <c r="D13" s="19"/>
      <c r="E13" s="19"/>
      <c r="F13" s="19"/>
      <c r="G13" s="19"/>
      <c r="H13" s="19"/>
      <c r="I13" s="19"/>
      <c r="J13" s="19"/>
      <c r="K13" s="19"/>
      <c r="L13" s="19"/>
      <c r="M13" s="4"/>
    </row>
    <row r="14" spans="1:13" ht="18">
      <c r="A14" s="4"/>
      <c r="B14" s="16" t="s">
        <v>6</v>
      </c>
      <c r="C14" s="4"/>
      <c r="D14" s="4"/>
      <c r="E14" s="4"/>
      <c r="F14" s="4"/>
      <c r="G14" s="4"/>
      <c r="H14" s="4"/>
      <c r="I14" s="4"/>
      <c r="J14" s="4"/>
      <c r="K14" s="4"/>
      <c r="L14" s="4"/>
      <c r="M14" s="4"/>
    </row>
    <row r="15" spans="1:13" ht="50.1" customHeight="1">
      <c r="A15" s="4"/>
      <c r="B15" s="137" t="s">
        <v>7</v>
      </c>
      <c r="C15" s="138"/>
      <c r="D15" s="138"/>
      <c r="E15" s="138"/>
      <c r="F15" s="138"/>
      <c r="G15" s="138"/>
      <c r="H15" s="138"/>
      <c r="I15" s="138"/>
      <c r="J15" s="138"/>
      <c r="K15" s="138"/>
      <c r="L15" s="138"/>
      <c r="M15" s="4"/>
    </row>
    <row r="16" spans="1:13">
      <c r="A16" s="4"/>
      <c r="B16" s="4"/>
      <c r="C16" s="4"/>
      <c r="D16" s="4"/>
      <c r="E16" s="4"/>
      <c r="F16" s="4"/>
      <c r="G16" s="4"/>
      <c r="H16" s="4"/>
      <c r="I16" s="4"/>
      <c r="J16" s="4"/>
      <c r="K16" s="4"/>
      <c r="L16" s="4"/>
      <c r="M16" s="4"/>
    </row>
    <row r="17" spans="1:13" ht="14.25" customHeight="1" thickBot="1">
      <c r="A17" s="4"/>
      <c r="B17" s="1"/>
      <c r="C17" s="4"/>
      <c r="D17" s="4"/>
      <c r="E17" s="4"/>
      <c r="F17" s="4"/>
      <c r="G17" s="4"/>
      <c r="H17" s="4"/>
      <c r="I17" s="4"/>
      <c r="J17" s="4"/>
      <c r="K17" s="4"/>
      <c r="L17" s="4"/>
      <c r="M17" s="4"/>
    </row>
    <row r="18" spans="1:13" ht="20.100000000000001" customHeight="1" thickTop="1">
      <c r="A18" s="4"/>
      <c r="B18" s="139" t="s">
        <v>8</v>
      </c>
      <c r="C18" s="139"/>
      <c r="D18" s="139"/>
      <c r="E18" s="139"/>
      <c r="F18" s="139"/>
      <c r="G18" s="139"/>
      <c r="H18" s="139"/>
      <c r="I18" s="139"/>
      <c r="J18" s="139"/>
      <c r="K18" s="139"/>
      <c r="L18" s="139"/>
      <c r="M18" s="4"/>
    </row>
    <row r="19" spans="1:13" ht="26.1">
      <c r="A19" s="4"/>
      <c r="B19" s="110" t="s">
        <v>9</v>
      </c>
      <c r="C19" s="140" t="s">
        <v>10</v>
      </c>
      <c r="D19" s="140"/>
      <c r="E19" s="140"/>
      <c r="F19" s="140"/>
      <c r="G19" s="140"/>
      <c r="H19" s="140"/>
      <c r="I19" s="140"/>
      <c r="J19" s="140"/>
      <c r="K19" s="140"/>
      <c r="L19" s="110" t="s">
        <v>11</v>
      </c>
      <c r="M19" s="4"/>
    </row>
    <row r="20" spans="1:13" ht="30" customHeight="1">
      <c r="A20" s="4"/>
      <c r="B20" s="111" t="s">
        <v>12</v>
      </c>
      <c r="C20" s="141" t="s">
        <v>13</v>
      </c>
      <c r="D20" s="141"/>
      <c r="E20" s="141"/>
      <c r="F20" s="141"/>
      <c r="G20" s="141"/>
      <c r="H20" s="141"/>
      <c r="I20" s="141"/>
      <c r="J20" s="141"/>
      <c r="K20" s="141"/>
      <c r="L20" s="112">
        <v>42062</v>
      </c>
      <c r="M20" s="4"/>
    </row>
    <row r="21" spans="1:13" ht="30" customHeight="1">
      <c r="A21" s="4"/>
      <c r="B21" s="111" t="s">
        <v>14</v>
      </c>
      <c r="C21" s="141" t="s">
        <v>15</v>
      </c>
      <c r="D21" s="141"/>
      <c r="E21" s="141"/>
      <c r="F21" s="141"/>
      <c r="G21" s="141"/>
      <c r="H21" s="141"/>
      <c r="I21" s="141"/>
      <c r="J21" s="141"/>
      <c r="K21" s="141"/>
      <c r="L21" s="112">
        <v>42283</v>
      </c>
      <c r="M21" s="4"/>
    </row>
    <row r="22" spans="1:13" ht="30" customHeight="1">
      <c r="A22" s="4"/>
      <c r="B22" s="111" t="s">
        <v>16</v>
      </c>
      <c r="C22" s="141" t="s">
        <v>17</v>
      </c>
      <c r="D22" s="141"/>
      <c r="E22" s="141"/>
      <c r="F22" s="141"/>
      <c r="G22" s="141"/>
      <c r="H22" s="141"/>
      <c r="I22" s="141"/>
      <c r="J22" s="141"/>
      <c r="K22" s="141"/>
      <c r="L22" s="112">
        <v>42403</v>
      </c>
      <c r="M22" s="4"/>
    </row>
    <row r="23" spans="1:13" ht="130.69999999999999" customHeight="1">
      <c r="A23" s="4"/>
      <c r="B23" s="111" t="s">
        <v>18</v>
      </c>
      <c r="C23" s="141" t="s">
        <v>19</v>
      </c>
      <c r="D23" s="141"/>
      <c r="E23" s="141"/>
      <c r="F23" s="141"/>
      <c r="G23" s="141"/>
      <c r="H23" s="141"/>
      <c r="I23" s="141"/>
      <c r="J23" s="141"/>
      <c r="K23" s="141"/>
      <c r="L23" s="112">
        <v>42864</v>
      </c>
      <c r="M23" s="4"/>
    </row>
    <row r="24" spans="1:13" ht="46.35" customHeight="1">
      <c r="A24" s="4"/>
      <c r="B24" s="111" t="s">
        <v>20</v>
      </c>
      <c r="C24" s="141" t="s">
        <v>21</v>
      </c>
      <c r="D24" s="141"/>
      <c r="E24" s="141"/>
      <c r="F24" s="141"/>
      <c r="G24" s="141"/>
      <c r="H24" s="141"/>
      <c r="I24" s="141"/>
      <c r="J24" s="141"/>
      <c r="K24" s="141"/>
      <c r="L24" s="112">
        <v>42990</v>
      </c>
      <c r="M24" s="4"/>
    </row>
    <row r="25" spans="1:13" ht="112.35" customHeight="1">
      <c r="A25" s="4"/>
      <c r="B25" s="111" t="s">
        <v>22</v>
      </c>
      <c r="C25" s="141" t="s">
        <v>23</v>
      </c>
      <c r="D25" s="141"/>
      <c r="E25" s="141"/>
      <c r="F25" s="141"/>
      <c r="G25" s="141"/>
      <c r="H25" s="141"/>
      <c r="I25" s="141"/>
      <c r="J25" s="141"/>
      <c r="K25" s="141"/>
      <c r="L25" s="112">
        <v>43131</v>
      </c>
      <c r="M25" s="4"/>
    </row>
    <row r="26" spans="1:13" ht="128.44999999999999" customHeight="1">
      <c r="A26" s="4"/>
      <c r="B26" s="111" t="s">
        <v>24</v>
      </c>
      <c r="C26" s="141" t="s">
        <v>25</v>
      </c>
      <c r="D26" s="141"/>
      <c r="E26" s="141"/>
      <c r="F26" s="141"/>
      <c r="G26" s="141"/>
      <c r="H26" s="141"/>
      <c r="I26" s="141"/>
      <c r="J26" s="141"/>
      <c r="K26" s="141"/>
      <c r="L26" s="112">
        <v>43235</v>
      </c>
      <c r="M26" s="4"/>
    </row>
    <row r="27" spans="1:13" ht="245.1" customHeight="1">
      <c r="A27" s="4"/>
      <c r="B27" s="111" t="s">
        <v>26</v>
      </c>
      <c r="C27" s="141" t="s">
        <v>27</v>
      </c>
      <c r="D27" s="141"/>
      <c r="E27" s="141"/>
      <c r="F27" s="141"/>
      <c r="G27" s="141"/>
      <c r="H27" s="141"/>
      <c r="I27" s="141"/>
      <c r="J27" s="141"/>
      <c r="K27" s="141"/>
      <c r="L27" s="112">
        <v>43524</v>
      </c>
      <c r="M27" s="4"/>
    </row>
    <row r="28" spans="1:13" ht="120" customHeight="1">
      <c r="A28" s="4"/>
      <c r="B28" s="111" t="s">
        <v>28</v>
      </c>
      <c r="C28" s="141" t="s">
        <v>29</v>
      </c>
      <c r="D28" s="141"/>
      <c r="E28" s="141"/>
      <c r="F28" s="141"/>
      <c r="G28" s="141"/>
      <c r="H28" s="141"/>
      <c r="I28" s="141"/>
      <c r="J28" s="141"/>
      <c r="K28" s="141"/>
      <c r="L28" s="112">
        <v>44229</v>
      </c>
      <c r="M28" s="4"/>
    </row>
    <row r="29" spans="1:13" ht="126.6" customHeight="1">
      <c r="A29" s="4"/>
      <c r="B29" s="111" t="s">
        <v>30</v>
      </c>
      <c r="C29" s="141" t="s">
        <v>31</v>
      </c>
      <c r="D29" s="141"/>
      <c r="E29" s="141"/>
      <c r="F29" s="141"/>
      <c r="G29" s="141"/>
      <c r="H29" s="141"/>
      <c r="I29" s="141"/>
      <c r="J29" s="141"/>
      <c r="K29" s="141"/>
      <c r="L29" s="112">
        <v>44617</v>
      </c>
      <c r="M29" s="4"/>
    </row>
    <row r="30" spans="1:13" ht="104.1" customHeight="1">
      <c r="A30" s="4"/>
      <c r="B30" s="111" t="s">
        <v>32</v>
      </c>
      <c r="C30" s="145" t="s">
        <v>33</v>
      </c>
      <c r="D30" s="145"/>
      <c r="E30" s="145"/>
      <c r="F30" s="145"/>
      <c r="G30" s="145"/>
      <c r="H30" s="145"/>
      <c r="I30" s="145"/>
      <c r="J30" s="145"/>
      <c r="K30" s="145"/>
      <c r="L30" s="112">
        <v>44740</v>
      </c>
      <c r="M30" s="4"/>
    </row>
    <row r="31" spans="1:13" ht="62.1" customHeight="1">
      <c r="A31" s="4"/>
      <c r="B31" s="111" t="s">
        <v>34</v>
      </c>
      <c r="C31" s="141" t="s">
        <v>35</v>
      </c>
      <c r="D31" s="141"/>
      <c r="E31" s="141"/>
      <c r="F31" s="141"/>
      <c r="G31" s="141"/>
      <c r="H31" s="141"/>
      <c r="I31" s="141"/>
      <c r="J31" s="141"/>
      <c r="K31" s="141"/>
      <c r="L31" s="112">
        <v>45805</v>
      </c>
      <c r="M31" s="4"/>
    </row>
    <row r="32" spans="1:13" ht="14.25" customHeight="1">
      <c r="A32" s="4"/>
      <c r="B32" s="2"/>
      <c r="C32" s="6"/>
      <c r="D32" s="6"/>
      <c r="E32" s="6"/>
      <c r="F32" s="6"/>
      <c r="G32" s="6"/>
      <c r="H32" s="6"/>
      <c r="I32" s="6"/>
      <c r="J32" s="6"/>
      <c r="K32" s="6"/>
      <c r="L32" s="6"/>
      <c r="M32" s="4"/>
    </row>
    <row r="33" spans="1:21" ht="14.25" customHeight="1" thickBot="1">
      <c r="A33" s="4"/>
      <c r="B33" s="2"/>
      <c r="C33" s="6"/>
      <c r="D33" s="6"/>
      <c r="E33" s="6"/>
      <c r="F33" s="6"/>
      <c r="G33" s="6"/>
      <c r="H33" s="6"/>
      <c r="I33" s="6"/>
      <c r="J33" s="6"/>
      <c r="K33" s="6"/>
      <c r="L33" s="6"/>
      <c r="M33" s="4"/>
    </row>
    <row r="34" spans="1:21" ht="20.100000000000001" customHeight="1" thickTop="1">
      <c r="A34" s="4"/>
      <c r="B34" s="139" t="s">
        <v>36</v>
      </c>
      <c r="C34" s="139"/>
      <c r="D34" s="139"/>
      <c r="E34" s="139"/>
      <c r="F34" s="139"/>
      <c r="G34" s="139"/>
      <c r="H34" s="139"/>
      <c r="I34" s="139"/>
      <c r="J34" s="139"/>
      <c r="K34" s="139"/>
      <c r="L34" s="139"/>
      <c r="M34" s="4"/>
    </row>
    <row r="35" spans="1:21" ht="26.1">
      <c r="A35" s="4"/>
      <c r="B35" s="114" t="s">
        <v>37</v>
      </c>
      <c r="C35" s="140" t="s">
        <v>38</v>
      </c>
      <c r="D35" s="140"/>
      <c r="E35" s="140"/>
      <c r="F35" s="140"/>
      <c r="G35" s="127" t="s">
        <v>39</v>
      </c>
      <c r="H35" s="128"/>
      <c r="I35" s="129"/>
      <c r="J35" s="127" t="s">
        <v>40</v>
      </c>
      <c r="K35" s="129"/>
      <c r="L35" s="110" t="s">
        <v>41</v>
      </c>
      <c r="M35" s="4"/>
    </row>
    <row r="36" spans="1:21" ht="42.6" customHeight="1">
      <c r="A36" s="4"/>
      <c r="B36" s="111" t="s">
        <v>42</v>
      </c>
      <c r="C36" s="130" t="s">
        <v>43</v>
      </c>
      <c r="D36" s="131"/>
      <c r="E36" s="131"/>
      <c r="F36" s="132"/>
      <c r="G36" s="130" t="s">
        <v>44</v>
      </c>
      <c r="H36" s="131"/>
      <c r="I36" s="132"/>
      <c r="J36" s="130"/>
      <c r="K36" s="132"/>
      <c r="L36" s="112">
        <v>44740</v>
      </c>
      <c r="M36" s="4"/>
    </row>
    <row r="37" spans="1:21" ht="42.6" customHeight="1">
      <c r="A37" s="4"/>
      <c r="B37" s="111" t="s">
        <v>45</v>
      </c>
      <c r="C37" s="130" t="s">
        <v>46</v>
      </c>
      <c r="D37" s="131"/>
      <c r="E37" s="131"/>
      <c r="F37" s="132"/>
      <c r="G37" s="130" t="s">
        <v>47</v>
      </c>
      <c r="H37" s="131"/>
      <c r="I37" s="132"/>
      <c r="J37" s="130"/>
      <c r="K37" s="132"/>
      <c r="L37" s="112">
        <v>44740</v>
      </c>
      <c r="M37" s="4"/>
    </row>
    <row r="38" spans="1:21" ht="42.6" customHeight="1">
      <c r="A38" s="4"/>
      <c r="B38" s="113" t="s">
        <v>48</v>
      </c>
      <c r="C38" s="142" t="s">
        <v>49</v>
      </c>
      <c r="D38" s="143"/>
      <c r="E38" s="143"/>
      <c r="F38" s="144"/>
      <c r="G38" s="130" t="s">
        <v>50</v>
      </c>
      <c r="H38" s="131"/>
      <c r="I38" s="132"/>
      <c r="J38" s="130"/>
      <c r="K38" s="132"/>
      <c r="L38" s="112">
        <v>44740</v>
      </c>
      <c r="M38" s="4"/>
    </row>
    <row r="39" spans="1:21" ht="14.25" customHeight="1">
      <c r="A39" s="4"/>
      <c r="B39" s="2"/>
      <c r="C39" s="6"/>
      <c r="D39" s="6"/>
      <c r="E39" s="6"/>
      <c r="F39" s="6"/>
      <c r="G39" s="6"/>
      <c r="H39" s="6"/>
      <c r="I39" s="6"/>
      <c r="J39" s="6"/>
      <c r="K39" s="6"/>
      <c r="L39" s="6"/>
      <c r="M39" s="4"/>
    </row>
    <row r="40" spans="1:21" ht="14.25" customHeight="1">
      <c r="A40" s="4"/>
      <c r="B40" s="2"/>
      <c r="C40" s="6"/>
      <c r="D40" s="6"/>
      <c r="E40" s="6"/>
      <c r="F40" s="6"/>
      <c r="G40" s="6"/>
      <c r="H40" s="6"/>
      <c r="I40" s="6"/>
      <c r="J40" s="6"/>
      <c r="K40" s="6"/>
      <c r="L40" s="6"/>
      <c r="M40" s="4"/>
    </row>
    <row r="41" spans="1:21">
      <c r="A41" s="4"/>
      <c r="B41" s="4"/>
      <c r="C41" s="4"/>
      <c r="D41" s="4"/>
      <c r="E41" s="4"/>
      <c r="F41" s="4"/>
      <c r="G41" s="4"/>
      <c r="H41" s="4"/>
      <c r="I41" s="4"/>
      <c r="J41" s="4"/>
      <c r="K41" s="4"/>
      <c r="L41" s="4"/>
      <c r="M41" s="4"/>
    </row>
    <row r="42" spans="1:21">
      <c r="A42" s="4"/>
      <c r="B42" s="136"/>
      <c r="C42" s="136"/>
      <c r="D42" s="136"/>
      <c r="E42" s="136"/>
      <c r="F42" s="136"/>
      <c r="G42" s="136"/>
      <c r="H42" s="136"/>
      <c r="I42" s="136"/>
      <c r="J42" s="136"/>
      <c r="K42" s="136"/>
      <c r="L42" s="136"/>
      <c r="M42" s="4"/>
    </row>
    <row r="43" spans="1:21" ht="12.75" customHeight="1">
      <c r="A43" s="4"/>
      <c r="B43" s="4"/>
      <c r="C43" s="3"/>
      <c r="D43" s="3"/>
      <c r="E43" s="3"/>
      <c r="F43" s="3"/>
      <c r="G43" s="3"/>
      <c r="H43" s="3"/>
      <c r="I43" s="3"/>
      <c r="J43" s="3"/>
      <c r="K43" s="3"/>
      <c r="L43" s="4"/>
      <c r="M43" s="4"/>
    </row>
    <row r="44" spans="1:21" ht="13.5">
      <c r="C44" s="7"/>
      <c r="D44" s="7"/>
      <c r="E44" s="7"/>
      <c r="F44" s="8"/>
      <c r="G44" s="115" t="s">
        <v>51</v>
      </c>
      <c r="H44" s="21"/>
      <c r="L44" s="9"/>
      <c r="M44" s="10"/>
      <c r="S44" s="11"/>
      <c r="T44" s="11"/>
      <c r="U44" s="11"/>
    </row>
    <row r="45" spans="1:21">
      <c r="B45" s="12"/>
      <c r="C45" s="12"/>
      <c r="D45" s="12"/>
      <c r="E45" s="12"/>
      <c r="F45" s="12"/>
      <c r="G45" s="116" t="s">
        <v>52</v>
      </c>
      <c r="H45" s="12"/>
      <c r="I45" s="12"/>
      <c r="J45" s="12"/>
      <c r="K45" s="12"/>
      <c r="L45" s="12"/>
      <c r="M45" s="12"/>
      <c r="S45" s="11"/>
      <c r="T45" s="11"/>
      <c r="U45" s="11"/>
    </row>
    <row r="46" spans="1:21">
      <c r="B46" s="123"/>
      <c r="C46" s="123"/>
      <c r="D46" s="123"/>
      <c r="E46" s="4"/>
      <c r="F46" s="13"/>
      <c r="G46" s="22" t="s">
        <v>53</v>
      </c>
      <c r="H46" s="13"/>
      <c r="I46" s="13"/>
      <c r="J46" s="13"/>
      <c r="K46" s="13"/>
      <c r="L46" s="14" t="s">
        <v>54</v>
      </c>
      <c r="N46" s="13"/>
      <c r="O46" s="13"/>
      <c r="P46" s="13"/>
      <c r="Q46" s="4"/>
    </row>
  </sheetData>
  <mergeCells count="31">
    <mergeCell ref="C25:K25"/>
    <mergeCell ref="C31:K31"/>
    <mergeCell ref="C30:K30"/>
    <mergeCell ref="C26:K26"/>
    <mergeCell ref="C27:K27"/>
    <mergeCell ref="C28:K28"/>
    <mergeCell ref="C29:K29"/>
    <mergeCell ref="B4:L4"/>
    <mergeCell ref="B42:L42"/>
    <mergeCell ref="B15:L15"/>
    <mergeCell ref="B10:L10"/>
    <mergeCell ref="B18:L18"/>
    <mergeCell ref="C19:K19"/>
    <mergeCell ref="C20:K20"/>
    <mergeCell ref="B34:L34"/>
    <mergeCell ref="C35:F35"/>
    <mergeCell ref="C36:F36"/>
    <mergeCell ref="C37:F37"/>
    <mergeCell ref="C38:F38"/>
    <mergeCell ref="C21:K21"/>
    <mergeCell ref="C22:K22"/>
    <mergeCell ref="C23:K23"/>
    <mergeCell ref="C24:K24"/>
    <mergeCell ref="G35:I35"/>
    <mergeCell ref="J35:K35"/>
    <mergeCell ref="G36:I36"/>
    <mergeCell ref="G37:I37"/>
    <mergeCell ref="G38:I38"/>
    <mergeCell ref="J36:K36"/>
    <mergeCell ref="J37:K37"/>
    <mergeCell ref="J38:K38"/>
  </mergeCells>
  <printOptions horizontalCentered="1"/>
  <pageMargins left="0.19685039370078741" right="0.19685039370078741" top="0.39370078740157483" bottom="0.39370078740157483" header="0.19685039370078741" footer="0.19685039370078741"/>
  <pageSetup paperSize="9" scale="88" fitToHeight="0" orientation="landscape" r:id="rId1"/>
  <headerFooter alignWithMargins="0">
    <oddHeader>&amp;L&amp;"Arial Black"&amp;10&amp;K76923C  &amp;1#_x000D_</oddHeader>
    <oddFooter>&amp;C_x000D_&amp;1#&amp;"Arial Black"&amp;10&amp;K76923C {Hitachi Rail – Internal}</oddFooter>
  </headerFooter>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U106"/>
  <sheetViews>
    <sheetView showGridLines="0" zoomScale="85" zoomScaleNormal="85" zoomScaleSheetLayoutView="100" workbookViewId="0">
      <selection activeCell="R74" sqref="R74"/>
    </sheetView>
  </sheetViews>
  <sheetFormatPr defaultColWidth="11.42578125" defaultRowHeight="12.6"/>
  <cols>
    <col min="1" max="13" width="12.5703125" style="24" customWidth="1"/>
    <col min="14" max="20" width="11.42578125" style="24"/>
    <col min="21" max="21" width="2.85546875" style="24" customWidth="1"/>
    <col min="22" max="16384" width="11.42578125" style="24"/>
  </cols>
  <sheetData>
    <row r="1" spans="1:21" ht="18">
      <c r="A1" s="146" t="s">
        <v>55</v>
      </c>
      <c r="B1" s="146"/>
      <c r="C1" s="146"/>
      <c r="D1" s="146"/>
      <c r="E1" s="146"/>
      <c r="F1" s="146"/>
      <c r="G1" s="146"/>
      <c r="H1" s="146"/>
      <c r="I1" s="146"/>
      <c r="J1" s="146"/>
      <c r="K1" s="146"/>
      <c r="L1" s="146"/>
      <c r="M1" s="146"/>
      <c r="N1" s="146"/>
      <c r="O1" s="146"/>
      <c r="P1" s="146"/>
      <c r="Q1" s="146"/>
      <c r="R1" s="146"/>
      <c r="S1" s="146"/>
      <c r="T1" s="146"/>
      <c r="U1" s="146"/>
    </row>
    <row r="2" spans="1:21">
      <c r="A2" s="147" t="str">
        <f>'Template change log &amp; approval'!$B$7&amp;" - "&amp;'Template change log &amp; approval'!$G$7</f>
        <v xml:space="preserve"> - </v>
      </c>
      <c r="B2" s="147"/>
      <c r="C2" s="147"/>
      <c r="D2" s="147"/>
      <c r="E2" s="147"/>
      <c r="F2" s="147"/>
      <c r="G2" s="147"/>
      <c r="H2" s="147"/>
      <c r="I2" s="147"/>
      <c r="J2" s="147"/>
      <c r="K2" s="147"/>
      <c r="L2" s="147"/>
      <c r="M2" s="147"/>
      <c r="N2" s="147"/>
      <c r="O2" s="147"/>
      <c r="P2" s="147"/>
      <c r="Q2" s="147"/>
      <c r="R2" s="147"/>
      <c r="S2" s="147"/>
      <c r="T2" s="147"/>
      <c r="U2" s="147"/>
    </row>
    <row r="62" spans="2:21" s="5" customFormat="1" ht="13.5">
      <c r="C62" s="7"/>
      <c r="G62" s="7"/>
      <c r="H62" s="7"/>
      <c r="I62" s="8"/>
      <c r="J62" s="115" t="s">
        <v>51</v>
      </c>
      <c r="K62" s="21"/>
      <c r="N62" s="9"/>
      <c r="O62" s="7"/>
      <c r="S62" s="11"/>
      <c r="T62" s="11"/>
      <c r="U62" s="11"/>
    </row>
    <row r="63" spans="2:21" s="5" customFormat="1">
      <c r="B63" s="12"/>
      <c r="C63" s="12"/>
      <c r="G63" s="12"/>
      <c r="H63" s="12"/>
      <c r="I63" s="12"/>
      <c r="J63" s="116" t="s">
        <v>52</v>
      </c>
      <c r="K63" s="12"/>
      <c r="L63" s="12"/>
      <c r="M63" s="12"/>
      <c r="N63" s="12"/>
      <c r="O63" s="12"/>
      <c r="S63" s="11"/>
      <c r="T63" s="11"/>
      <c r="U63" s="11"/>
    </row>
    <row r="64" spans="2:21" s="5" customFormat="1">
      <c r="B64" s="123"/>
      <c r="C64" s="123"/>
      <c r="G64" s="123"/>
      <c r="H64" s="4"/>
      <c r="I64" s="13"/>
      <c r="J64" s="22" t="s">
        <v>53</v>
      </c>
      <c r="K64" s="13"/>
      <c r="L64" s="13"/>
      <c r="M64" s="13"/>
      <c r="N64" s="14"/>
      <c r="O64" s="14" t="s">
        <v>54</v>
      </c>
      <c r="P64" s="13"/>
      <c r="Q64" s="4"/>
    </row>
    <row r="105" spans="2:17">
      <c r="B105" s="25"/>
    </row>
    <row r="106" spans="2:17">
      <c r="B106" s="26"/>
      <c r="N106" s="28"/>
      <c r="O106" s="28"/>
      <c r="P106" s="28"/>
      <c r="Q106" s="27"/>
    </row>
  </sheetData>
  <mergeCells count="2">
    <mergeCell ref="A1:U1"/>
    <mergeCell ref="A2:U2"/>
  </mergeCells>
  <printOptions horizontalCentered="1"/>
  <pageMargins left="0.19685039370078741" right="0.19685039370078741" top="0.39370078740157483" bottom="0.39370078740157483" header="0.19685039370078741" footer="0.19685039370078741"/>
  <pageSetup paperSize="8" scale="46" orientation="landscape" r:id="rId1"/>
  <headerFooter alignWithMargins="0">
    <oddHeader>&amp;L&amp;"Arial Black"&amp;10&amp;K76923C  &amp;1#_x000D_</oddHeader>
    <oddFooter>&amp;C_x000D_&amp;1#&amp;"Arial Black"&amp;10&amp;K76923C {Hitachi Rail – Internal}</oddFooter>
  </headerFooter>
  <drawing r:id="rId2"/>
  <legacyDrawing r:id="rId3"/>
  <oleObjects>
    <mc:AlternateContent xmlns:mc="http://schemas.openxmlformats.org/markup-compatibility/2006">
      <mc:Choice Requires="x14">
        <oleObject progId="Visio" shapeId="3081" r:id="rId4">
          <objectPr defaultSize="0" autoPict="0" r:id="rId5">
            <anchor moveWithCells="1">
              <from>
                <xdr:col>0</xdr:col>
                <xdr:colOff>107950</xdr:colOff>
                <xdr:row>2</xdr:row>
                <xdr:rowOff>88900</xdr:rowOff>
              </from>
              <to>
                <xdr:col>21</xdr:col>
                <xdr:colOff>88900</xdr:colOff>
                <xdr:row>60</xdr:row>
                <xdr:rowOff>88900</xdr:rowOff>
              </to>
            </anchor>
          </objectPr>
        </oleObject>
      </mc:Choice>
      <mc:Fallback>
        <oleObject progId="Visio" shapeId="3081" r:id="rId4"/>
      </mc:Fallback>
    </mc:AlternateContent>
  </oleObjec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AO72"/>
  <sheetViews>
    <sheetView showGridLines="0" zoomScale="130" zoomScaleNormal="130" zoomScaleSheetLayoutView="100" workbookViewId="0">
      <pane ySplit="4" topLeftCell="A27" activePane="bottomLeft" state="frozen"/>
      <selection pane="bottomLeft" activeCell="K7" sqref="K7"/>
      <selection activeCell="A3" sqref="A3"/>
    </sheetView>
  </sheetViews>
  <sheetFormatPr defaultColWidth="34.5703125" defaultRowHeight="12.6"/>
  <cols>
    <col min="1" max="1" width="6.5703125" style="29" customWidth="1"/>
    <col min="2" max="2" width="13.140625" style="24" customWidth="1"/>
    <col min="3" max="3" width="58.5703125" style="24" customWidth="1"/>
    <col min="4" max="4" width="15.85546875" style="24" customWidth="1"/>
    <col min="5" max="5" width="3.42578125" style="24" customWidth="1"/>
    <col min="6" max="6" width="30.42578125" style="24" customWidth="1"/>
    <col min="7" max="7" width="53.5703125" style="33" customWidth="1"/>
    <col min="8" max="8" width="33.140625" style="34" customWidth="1"/>
    <col min="9" max="9" width="46.42578125" style="24" customWidth="1"/>
    <col min="10" max="10" width="52.5703125" style="24" customWidth="1"/>
    <col min="11" max="11" width="39.5703125" style="24" customWidth="1"/>
    <col min="12" max="12" width="45" style="24" customWidth="1"/>
    <col min="13" max="13" width="37.42578125" style="24" customWidth="1"/>
    <col min="14" max="16384" width="34.5703125" style="24"/>
  </cols>
  <sheetData>
    <row r="1" spans="1:41" ht="18">
      <c r="B1" s="146" t="s">
        <v>56</v>
      </c>
      <c r="C1" s="146"/>
      <c r="D1" s="146"/>
      <c r="E1" s="146"/>
      <c r="F1" s="30"/>
      <c r="G1" s="31"/>
      <c r="H1" s="32"/>
      <c r="I1" s="30"/>
      <c r="J1" s="30"/>
      <c r="K1" s="30"/>
      <c r="L1" s="30"/>
      <c r="M1" s="30"/>
      <c r="N1" s="30"/>
      <c r="O1" s="30"/>
      <c r="P1" s="30"/>
      <c r="Q1" s="30"/>
      <c r="R1" s="30"/>
      <c r="S1" s="30"/>
      <c r="T1" s="30"/>
      <c r="U1" s="30"/>
      <c r="V1" s="30"/>
      <c r="W1" s="30"/>
      <c r="X1" s="30"/>
      <c r="Y1" s="30"/>
      <c r="Z1" s="30"/>
      <c r="AA1" s="30"/>
      <c r="AB1" s="30"/>
      <c r="AC1" s="30"/>
      <c r="AD1" s="30"/>
      <c r="AE1" s="30"/>
      <c r="AF1" s="30"/>
      <c r="AG1" s="30"/>
      <c r="AH1" s="30"/>
      <c r="AI1" s="30"/>
      <c r="AJ1" s="30"/>
      <c r="AK1" s="30"/>
      <c r="AL1" s="30"/>
      <c r="AM1" s="30"/>
      <c r="AN1" s="30"/>
      <c r="AO1" s="30"/>
    </row>
    <row r="2" spans="1:41">
      <c r="B2" s="147" t="str">
        <f>'Template change log &amp; approval'!$B$7&amp;" - "&amp;'Template change log &amp; approval'!$G$7</f>
        <v xml:space="preserve"> - </v>
      </c>
      <c r="C2" s="147"/>
      <c r="D2" s="147"/>
      <c r="E2" s="147"/>
    </row>
    <row r="3" spans="1:41" ht="14.45">
      <c r="B3" s="35" t="s">
        <v>57</v>
      </c>
      <c r="G3" s="148" t="s">
        <v>58</v>
      </c>
      <c r="H3" s="149"/>
      <c r="I3" s="149"/>
      <c r="J3" s="149"/>
      <c r="K3" s="149"/>
      <c r="L3" s="149"/>
      <c r="M3" s="150"/>
    </row>
    <row r="4" spans="1:41" ht="29.1">
      <c r="A4" s="36" t="s">
        <v>59</v>
      </c>
      <c r="B4" s="37" t="s">
        <v>60</v>
      </c>
      <c r="C4" s="37" t="s">
        <v>61</v>
      </c>
      <c r="D4" s="38" t="s">
        <v>62</v>
      </c>
      <c r="E4" s="33"/>
      <c r="F4" s="39" t="s">
        <v>63</v>
      </c>
      <c r="G4" s="40" t="s">
        <v>64</v>
      </c>
      <c r="H4" s="41" t="s">
        <v>65</v>
      </c>
      <c r="I4" s="40" t="s">
        <v>66</v>
      </c>
      <c r="J4" s="40" t="s">
        <v>67</v>
      </c>
      <c r="K4" s="40" t="s">
        <v>68</v>
      </c>
      <c r="L4" s="40" t="s">
        <v>69</v>
      </c>
      <c r="M4" s="40" t="s">
        <v>70</v>
      </c>
    </row>
    <row r="5" spans="1:41">
      <c r="A5" s="29">
        <v>0</v>
      </c>
      <c r="B5" s="43">
        <v>0</v>
      </c>
      <c r="C5" s="42" t="s">
        <v>71</v>
      </c>
      <c r="D5" s="42"/>
      <c r="E5" s="33"/>
      <c r="F5" s="42"/>
      <c r="G5" s="42"/>
      <c r="H5" s="43"/>
      <c r="I5" s="42"/>
      <c r="J5" s="42"/>
      <c r="K5" s="42"/>
      <c r="L5" s="42"/>
      <c r="M5" s="42"/>
    </row>
    <row r="6" spans="1:41">
      <c r="A6" s="29">
        <f>LEN(B6)-LEN(SUBSTITUTE(B6,".",""))+1</f>
        <v>1</v>
      </c>
      <c r="B6" s="43">
        <v>1</v>
      </c>
      <c r="C6" s="42" t="s">
        <v>72</v>
      </c>
      <c r="D6" s="43">
        <v>0</v>
      </c>
      <c r="E6" s="33"/>
      <c r="F6" s="42"/>
      <c r="G6" s="42"/>
      <c r="H6" s="43"/>
      <c r="I6" s="42"/>
      <c r="J6" s="42"/>
      <c r="K6" s="42"/>
      <c r="L6" s="42"/>
      <c r="M6" s="42"/>
    </row>
    <row r="7" spans="1:41" ht="75">
      <c r="A7" s="29">
        <f t="shared" ref="A7:A66" si="0">LEN(B7)-LEN(SUBSTITUTE(B7,".",""))+1</f>
        <v>2</v>
      </c>
      <c r="B7" s="43">
        <v>1.1000000000000001</v>
      </c>
      <c r="C7" s="42" t="s">
        <v>72</v>
      </c>
      <c r="D7" s="42" t="str">
        <f t="shared" ref="D7:D11" si="1">LEFT(B7,FIND("$",SUBSTITUTE(B7,".","$",LEN(B7)-LEN(SUBSTITUTE(B7,".",""))),1)-1)</f>
        <v>1</v>
      </c>
      <c r="E7" s="33"/>
      <c r="F7" s="42"/>
      <c r="G7" s="43" t="s">
        <v>73</v>
      </c>
      <c r="H7" s="43" t="s">
        <v>74</v>
      </c>
      <c r="I7" s="42" t="s">
        <v>75</v>
      </c>
      <c r="J7" s="42" t="s">
        <v>76</v>
      </c>
      <c r="K7" s="42" t="s">
        <v>77</v>
      </c>
      <c r="L7" s="42" t="s">
        <v>78</v>
      </c>
      <c r="M7" s="42" t="s">
        <v>79</v>
      </c>
    </row>
    <row r="8" spans="1:41">
      <c r="A8" s="29">
        <f t="shared" si="0"/>
        <v>2</v>
      </c>
      <c r="B8" s="43">
        <v>1.2</v>
      </c>
      <c r="C8" s="42" t="s">
        <v>80</v>
      </c>
      <c r="D8" s="42" t="str">
        <f t="shared" si="1"/>
        <v>1</v>
      </c>
      <c r="E8" s="33"/>
      <c r="F8" s="42"/>
      <c r="G8" s="42" t="s">
        <v>81</v>
      </c>
      <c r="H8" s="43" t="s">
        <v>82</v>
      </c>
      <c r="I8" s="42" t="s">
        <v>83</v>
      </c>
      <c r="J8" s="42" t="s">
        <v>84</v>
      </c>
      <c r="K8" s="42"/>
      <c r="L8" s="42"/>
      <c r="M8" s="42" t="s">
        <v>79</v>
      </c>
    </row>
    <row r="9" spans="1:41" ht="37.5">
      <c r="A9" s="29">
        <f t="shared" si="0"/>
        <v>2</v>
      </c>
      <c r="B9" s="43">
        <v>1.3</v>
      </c>
      <c r="C9" s="42" t="s">
        <v>85</v>
      </c>
      <c r="D9" s="42" t="str">
        <f t="shared" si="1"/>
        <v>1</v>
      </c>
      <c r="E9" s="33"/>
      <c r="F9" s="42"/>
      <c r="G9" s="42" t="s">
        <v>86</v>
      </c>
      <c r="H9" s="43" t="s">
        <v>87</v>
      </c>
      <c r="I9" s="42" t="s">
        <v>88</v>
      </c>
      <c r="J9" s="42" t="s">
        <v>89</v>
      </c>
      <c r="K9" s="42"/>
      <c r="L9" s="42"/>
      <c r="M9" s="42" t="s">
        <v>79</v>
      </c>
    </row>
    <row r="10" spans="1:41" ht="37.5">
      <c r="A10" s="29">
        <f t="shared" si="0"/>
        <v>2</v>
      </c>
      <c r="B10" s="43">
        <v>1.4</v>
      </c>
      <c r="C10" s="42" t="s">
        <v>90</v>
      </c>
      <c r="D10" s="42" t="str">
        <f t="shared" si="1"/>
        <v>1</v>
      </c>
      <c r="E10" s="33"/>
      <c r="F10" s="42"/>
      <c r="G10" s="42" t="s">
        <v>91</v>
      </c>
      <c r="H10" s="43" t="s">
        <v>92</v>
      </c>
      <c r="I10" s="42" t="s">
        <v>93</v>
      </c>
      <c r="J10" s="42" t="s">
        <v>94</v>
      </c>
      <c r="K10" s="42"/>
      <c r="L10" s="42"/>
      <c r="M10" s="42" t="s">
        <v>79</v>
      </c>
    </row>
    <row r="11" spans="1:41" ht="37.5">
      <c r="A11" s="29">
        <f t="shared" si="0"/>
        <v>2</v>
      </c>
      <c r="B11" s="43">
        <v>1.5</v>
      </c>
      <c r="C11" s="42" t="s">
        <v>95</v>
      </c>
      <c r="D11" s="42" t="str">
        <f t="shared" si="1"/>
        <v>1</v>
      </c>
      <c r="E11" s="33"/>
      <c r="F11" s="42"/>
      <c r="G11" s="42" t="s">
        <v>96</v>
      </c>
      <c r="H11" s="43" t="s">
        <v>97</v>
      </c>
      <c r="I11" s="42" t="s">
        <v>88</v>
      </c>
      <c r="J11" s="42" t="s">
        <v>98</v>
      </c>
      <c r="K11" s="42"/>
      <c r="L11" s="42"/>
      <c r="M11" s="42" t="s">
        <v>79</v>
      </c>
    </row>
    <row r="12" spans="1:41">
      <c r="A12" s="29">
        <f>LEN(B12)-LEN(SUBSTITUTE(B12,".",""))+1</f>
        <v>2</v>
      </c>
      <c r="B12" s="43">
        <v>1.6</v>
      </c>
      <c r="C12" s="54" t="s">
        <v>99</v>
      </c>
      <c r="D12" s="54" t="str">
        <f>LEFT(B12,FIND("$",SUBSTITUTE(B12,".","$",LEN(B12)-LEN(SUBSTITUTE(B12,".",""))),1)-1)</f>
        <v>1</v>
      </c>
      <c r="F12" s="54" t="s">
        <v>100</v>
      </c>
      <c r="G12" s="54" t="s">
        <v>101</v>
      </c>
      <c r="H12" s="42" t="s">
        <v>102</v>
      </c>
      <c r="I12" s="54"/>
      <c r="J12" s="54" t="s">
        <v>103</v>
      </c>
      <c r="K12" s="54"/>
      <c r="L12" s="54"/>
      <c r="M12" s="54"/>
    </row>
    <row r="13" spans="1:41">
      <c r="A13" s="29">
        <f t="shared" si="0"/>
        <v>1</v>
      </c>
      <c r="B13" s="43">
        <v>2</v>
      </c>
      <c r="C13" s="42" t="s">
        <v>104</v>
      </c>
      <c r="D13" s="43">
        <v>0</v>
      </c>
      <c r="E13" s="33"/>
      <c r="F13" s="42"/>
      <c r="G13" s="42"/>
      <c r="H13" s="43"/>
      <c r="I13" s="42"/>
      <c r="J13" s="42"/>
      <c r="K13" s="42"/>
      <c r="L13" s="42"/>
      <c r="M13" s="42"/>
    </row>
    <row r="14" spans="1:41" ht="237.6">
      <c r="A14" s="29">
        <f t="shared" si="0"/>
        <v>2</v>
      </c>
      <c r="B14" s="43">
        <v>2.1</v>
      </c>
      <c r="C14" s="42" t="s">
        <v>105</v>
      </c>
      <c r="D14" s="42" t="str">
        <f t="shared" ref="D14:D17" si="2">LEFT(B14,FIND("$",SUBSTITUTE(B14,".","$",LEN(B14)-LEN(SUBSTITUTE(B14,".",""))),1)-1)</f>
        <v>2</v>
      </c>
      <c r="E14" s="33"/>
      <c r="F14" s="42"/>
      <c r="G14" s="42" t="s">
        <v>106</v>
      </c>
      <c r="H14" s="43" t="s">
        <v>107</v>
      </c>
      <c r="I14" s="42" t="s">
        <v>108</v>
      </c>
      <c r="J14" s="42" t="s">
        <v>109</v>
      </c>
      <c r="K14" s="42"/>
      <c r="L14" s="42" t="s">
        <v>110</v>
      </c>
      <c r="M14" s="42"/>
    </row>
    <row r="15" spans="1:41" ht="137.44999999999999">
      <c r="A15" s="29">
        <f t="shared" si="0"/>
        <v>2</v>
      </c>
      <c r="B15" s="43">
        <v>2.2000000000000002</v>
      </c>
      <c r="C15" s="42" t="s">
        <v>111</v>
      </c>
      <c r="D15" s="42" t="str">
        <f t="shared" si="2"/>
        <v>2</v>
      </c>
      <c r="E15" s="33"/>
      <c r="F15" s="42"/>
      <c r="G15" s="42" t="s">
        <v>112</v>
      </c>
      <c r="H15" s="43" t="s">
        <v>113</v>
      </c>
      <c r="I15" s="42" t="s">
        <v>114</v>
      </c>
      <c r="J15" s="42" t="s">
        <v>115</v>
      </c>
      <c r="K15" s="42" t="s">
        <v>116</v>
      </c>
      <c r="L15" s="44" t="s">
        <v>117</v>
      </c>
      <c r="M15" s="42"/>
    </row>
    <row r="16" spans="1:41" ht="137.44999999999999">
      <c r="A16" s="29">
        <f t="shared" si="0"/>
        <v>2</v>
      </c>
      <c r="B16" s="43">
        <v>2.2999999999999998</v>
      </c>
      <c r="C16" s="42" t="s">
        <v>118</v>
      </c>
      <c r="D16" s="42" t="str">
        <f t="shared" si="2"/>
        <v>2</v>
      </c>
      <c r="E16" s="33"/>
      <c r="F16" s="42"/>
      <c r="G16" s="42" t="s">
        <v>119</v>
      </c>
      <c r="H16" s="43" t="s">
        <v>120</v>
      </c>
      <c r="I16" s="42" t="s">
        <v>121</v>
      </c>
      <c r="J16" s="42" t="s">
        <v>122</v>
      </c>
      <c r="K16" s="42"/>
      <c r="L16" s="42" t="s">
        <v>123</v>
      </c>
      <c r="M16" s="42"/>
    </row>
    <row r="17" spans="1:13" ht="125.1">
      <c r="A17" s="29">
        <f t="shared" si="0"/>
        <v>2</v>
      </c>
      <c r="B17" s="43">
        <v>2.4</v>
      </c>
      <c r="C17" s="42" t="s">
        <v>124</v>
      </c>
      <c r="D17" s="42" t="str">
        <f t="shared" si="2"/>
        <v>2</v>
      </c>
      <c r="E17" s="45"/>
      <c r="F17" s="46"/>
      <c r="G17" s="46" t="s">
        <v>125</v>
      </c>
      <c r="H17" s="47" t="s">
        <v>126</v>
      </c>
      <c r="I17" s="46" t="s">
        <v>127</v>
      </c>
      <c r="J17" s="46" t="s">
        <v>128</v>
      </c>
      <c r="K17" s="46" t="s">
        <v>129</v>
      </c>
      <c r="L17" s="46" t="s">
        <v>130</v>
      </c>
      <c r="M17" s="46"/>
    </row>
    <row r="18" spans="1:13">
      <c r="A18" s="29">
        <f t="shared" si="0"/>
        <v>1</v>
      </c>
      <c r="B18" s="43" t="s">
        <v>131</v>
      </c>
      <c r="C18" s="42" t="s">
        <v>132</v>
      </c>
      <c r="D18" s="43">
        <v>0</v>
      </c>
      <c r="E18" s="33"/>
      <c r="F18" s="42"/>
      <c r="G18" s="42"/>
      <c r="H18" s="43"/>
      <c r="I18" s="42"/>
      <c r="J18" s="42"/>
      <c r="K18" s="42"/>
      <c r="L18" s="42"/>
      <c r="M18" s="42"/>
    </row>
    <row r="19" spans="1:13" ht="101.25" customHeight="1">
      <c r="A19" s="29">
        <f t="shared" si="0"/>
        <v>2</v>
      </c>
      <c r="B19" s="49" t="s">
        <v>133</v>
      </c>
      <c r="C19" s="50" t="s">
        <v>134</v>
      </c>
      <c r="D19" s="50" t="str">
        <f t="shared" ref="D19:D39" si="3">LEFT(B19,FIND("$",SUBSTITUTE(B19,".","$",LEN(B19)-LEN(SUBSTITUTE(B19,".",""))),1)-1)</f>
        <v>3</v>
      </c>
      <c r="E19" s="33"/>
      <c r="F19" s="50" t="s">
        <v>135</v>
      </c>
      <c r="H19" s="49" t="s">
        <v>136</v>
      </c>
      <c r="I19" s="50" t="s">
        <v>137</v>
      </c>
      <c r="J19" s="50" t="s">
        <v>138</v>
      </c>
      <c r="K19" s="50"/>
      <c r="L19" s="50"/>
      <c r="M19" s="50"/>
    </row>
    <row r="20" spans="1:13" ht="137.44999999999999">
      <c r="A20" s="29">
        <f t="shared" si="0"/>
        <v>3</v>
      </c>
      <c r="B20" s="43" t="s">
        <v>139</v>
      </c>
      <c r="C20" s="42" t="s">
        <v>140</v>
      </c>
      <c r="D20" s="43" t="str">
        <f t="shared" si="3"/>
        <v>3.1</v>
      </c>
      <c r="E20" s="42"/>
      <c r="F20" s="42"/>
      <c r="G20" s="42" t="s">
        <v>141</v>
      </c>
      <c r="H20" s="43" t="s">
        <v>142</v>
      </c>
      <c r="I20" s="53" t="s">
        <v>143</v>
      </c>
      <c r="J20" s="53" t="s">
        <v>144</v>
      </c>
      <c r="K20" s="50"/>
      <c r="L20" s="50"/>
      <c r="M20" s="50"/>
    </row>
    <row r="21" spans="1:13" ht="200.1">
      <c r="A21" s="29">
        <f t="shared" si="0"/>
        <v>3</v>
      </c>
      <c r="B21" s="43" t="s">
        <v>145</v>
      </c>
      <c r="C21" s="42" t="s">
        <v>146</v>
      </c>
      <c r="D21" s="43" t="str">
        <f t="shared" si="3"/>
        <v>3.1</v>
      </c>
      <c r="E21" s="42"/>
      <c r="F21" s="42"/>
      <c r="G21" s="42" t="s">
        <v>147</v>
      </c>
      <c r="H21" s="43" t="s">
        <v>142</v>
      </c>
      <c r="I21" s="53" t="s">
        <v>148</v>
      </c>
      <c r="J21" s="53" t="s">
        <v>149</v>
      </c>
      <c r="K21" s="50"/>
      <c r="L21" s="50"/>
      <c r="M21" s="50"/>
    </row>
    <row r="22" spans="1:13" ht="187.5">
      <c r="A22" s="29">
        <f t="shared" si="0"/>
        <v>2</v>
      </c>
      <c r="B22" s="52">
        <v>3.2</v>
      </c>
      <c r="C22" s="51" t="s">
        <v>150</v>
      </c>
      <c r="D22" s="51" t="str">
        <f t="shared" si="3"/>
        <v>3</v>
      </c>
      <c r="E22" s="33"/>
      <c r="F22" s="51" t="s">
        <v>151</v>
      </c>
      <c r="G22" s="95" t="s">
        <v>152</v>
      </c>
      <c r="H22" s="52" t="s">
        <v>153</v>
      </c>
      <c r="I22" s="51" t="s">
        <v>154</v>
      </c>
      <c r="J22" s="51" t="s">
        <v>155</v>
      </c>
      <c r="K22" s="51"/>
      <c r="L22" s="51"/>
      <c r="M22" s="51"/>
    </row>
    <row r="23" spans="1:13" ht="37.5">
      <c r="A23" s="29">
        <f t="shared" si="0"/>
        <v>2</v>
      </c>
      <c r="B23" s="43">
        <v>3.3</v>
      </c>
      <c r="C23" s="42" t="s">
        <v>156</v>
      </c>
      <c r="D23" s="42" t="str">
        <f t="shared" si="3"/>
        <v>3</v>
      </c>
      <c r="E23" s="33"/>
      <c r="F23" s="42" t="s">
        <v>157</v>
      </c>
      <c r="G23" s="53"/>
      <c r="H23" s="43"/>
      <c r="I23" s="42"/>
      <c r="J23" s="42"/>
      <c r="K23" s="42"/>
      <c r="L23" s="42"/>
      <c r="M23" s="42"/>
    </row>
    <row r="24" spans="1:13" ht="99.95">
      <c r="A24" s="29">
        <f t="shared" si="0"/>
        <v>3</v>
      </c>
      <c r="B24" s="43" t="s">
        <v>158</v>
      </c>
      <c r="C24" s="42" t="s">
        <v>159</v>
      </c>
      <c r="D24" s="42" t="str">
        <f t="shared" si="3"/>
        <v>3.3</v>
      </c>
      <c r="E24" s="33"/>
      <c r="F24" s="42"/>
      <c r="G24" s="53" t="s">
        <v>160</v>
      </c>
      <c r="H24" s="43" t="s">
        <v>161</v>
      </c>
      <c r="I24" s="42" t="s">
        <v>162</v>
      </c>
      <c r="J24" s="42" t="s">
        <v>163</v>
      </c>
      <c r="K24" s="42"/>
      <c r="L24" s="42"/>
      <c r="M24" s="42"/>
    </row>
    <row r="25" spans="1:13" ht="99.95">
      <c r="A25" s="29">
        <f t="shared" si="0"/>
        <v>3</v>
      </c>
      <c r="B25" s="43" t="s">
        <v>164</v>
      </c>
      <c r="C25" s="42" t="s">
        <v>165</v>
      </c>
      <c r="D25" s="42" t="str">
        <f t="shared" si="3"/>
        <v>3.3</v>
      </c>
      <c r="E25" s="33"/>
      <c r="F25" s="42"/>
      <c r="G25" s="42" t="s">
        <v>166</v>
      </c>
      <c r="H25" s="43" t="s">
        <v>161</v>
      </c>
      <c r="I25" s="43" t="s">
        <v>167</v>
      </c>
      <c r="J25" s="43" t="s">
        <v>168</v>
      </c>
      <c r="K25" s="42"/>
      <c r="L25" s="42"/>
      <c r="M25" s="42"/>
    </row>
    <row r="26" spans="1:13" ht="24.95">
      <c r="B26" s="43">
        <v>3.4</v>
      </c>
      <c r="C26" s="42" t="s">
        <v>169</v>
      </c>
      <c r="D26" s="42" t="str">
        <f t="shared" si="3"/>
        <v>3</v>
      </c>
      <c r="E26" s="33"/>
      <c r="F26" s="42" t="s">
        <v>170</v>
      </c>
      <c r="G26" s="42"/>
      <c r="H26" s="43"/>
      <c r="I26" s="43"/>
      <c r="J26" s="43"/>
      <c r="K26" s="42"/>
      <c r="L26" s="42"/>
      <c r="M26" s="42"/>
    </row>
    <row r="27" spans="1:13" ht="87.6">
      <c r="A27" s="29">
        <f t="shared" si="0"/>
        <v>3</v>
      </c>
      <c r="B27" s="43" t="s">
        <v>171</v>
      </c>
      <c r="C27" s="42" t="s">
        <v>172</v>
      </c>
      <c r="D27" s="42" t="str">
        <f t="shared" si="3"/>
        <v>3.4</v>
      </c>
      <c r="E27" s="33"/>
      <c r="F27" s="42"/>
      <c r="G27" s="42" t="s">
        <v>173</v>
      </c>
      <c r="H27" s="43" t="s">
        <v>174</v>
      </c>
      <c r="I27" s="42" t="s">
        <v>175</v>
      </c>
      <c r="J27" s="42" t="s">
        <v>176</v>
      </c>
      <c r="K27" s="42"/>
      <c r="L27" s="42"/>
      <c r="M27" s="42"/>
    </row>
    <row r="28" spans="1:13" ht="87.6">
      <c r="A28" s="29">
        <f t="shared" si="0"/>
        <v>3</v>
      </c>
      <c r="B28" s="43" t="s">
        <v>177</v>
      </c>
      <c r="C28" s="42" t="s">
        <v>178</v>
      </c>
      <c r="D28" s="42" t="str">
        <f t="shared" si="3"/>
        <v>3.4</v>
      </c>
      <c r="E28" s="33"/>
      <c r="F28" s="42"/>
      <c r="G28" s="42" t="s">
        <v>179</v>
      </c>
      <c r="H28" s="43" t="s">
        <v>180</v>
      </c>
      <c r="I28" s="42" t="s">
        <v>175</v>
      </c>
      <c r="J28" s="42" t="s">
        <v>176</v>
      </c>
      <c r="K28" s="42"/>
      <c r="L28" s="42"/>
      <c r="M28" s="42"/>
    </row>
    <row r="29" spans="1:13" ht="87.6">
      <c r="A29" s="29">
        <f t="shared" si="0"/>
        <v>3</v>
      </c>
      <c r="B29" s="43" t="s">
        <v>181</v>
      </c>
      <c r="C29" s="42" t="s">
        <v>182</v>
      </c>
      <c r="D29" s="42" t="str">
        <f t="shared" si="3"/>
        <v>3.4</v>
      </c>
      <c r="E29" s="33"/>
      <c r="F29" s="42"/>
      <c r="G29" s="42" t="s">
        <v>179</v>
      </c>
      <c r="H29" s="43" t="s">
        <v>183</v>
      </c>
      <c r="I29" s="42" t="s">
        <v>175</v>
      </c>
      <c r="J29" s="42" t="s">
        <v>176</v>
      </c>
      <c r="K29" s="42"/>
      <c r="L29" s="42"/>
      <c r="M29" s="42"/>
    </row>
    <row r="30" spans="1:13" ht="87.6">
      <c r="A30" s="29">
        <f>LEN(B30)-LEN(SUBSTITUTE(B30,".",""))+1</f>
        <v>3</v>
      </c>
      <c r="B30" s="43" t="s">
        <v>184</v>
      </c>
      <c r="C30" s="42" t="s">
        <v>185</v>
      </c>
      <c r="D30" s="42" t="str">
        <f>LEFT(B30,FIND("$",SUBSTITUTE(B30,".","$",LEN(B30)-LEN(SUBSTITUTE(B30,".",""))),1)-1)</f>
        <v>3.4</v>
      </c>
      <c r="E30" s="33"/>
      <c r="F30" s="42" t="s">
        <v>186</v>
      </c>
      <c r="G30" s="42" t="s">
        <v>187</v>
      </c>
      <c r="H30" s="43" t="s">
        <v>188</v>
      </c>
      <c r="I30" s="42" t="s">
        <v>189</v>
      </c>
      <c r="J30" s="42" t="s">
        <v>190</v>
      </c>
      <c r="K30" s="42"/>
      <c r="L30" s="42"/>
      <c r="M30" s="42"/>
    </row>
    <row r="31" spans="1:13" ht="87.6">
      <c r="A31" s="29">
        <f t="shared" si="0"/>
        <v>3</v>
      </c>
      <c r="B31" s="43" t="s">
        <v>191</v>
      </c>
      <c r="C31" s="42" t="s">
        <v>192</v>
      </c>
      <c r="D31" s="42" t="str">
        <f t="shared" si="3"/>
        <v>3.4</v>
      </c>
      <c r="E31" s="33"/>
      <c r="F31" s="42" t="s">
        <v>186</v>
      </c>
      <c r="G31" s="42" t="s">
        <v>193</v>
      </c>
      <c r="H31" s="43" t="s">
        <v>188</v>
      </c>
      <c r="I31" s="42" t="s">
        <v>189</v>
      </c>
      <c r="J31" s="42" t="s">
        <v>190</v>
      </c>
      <c r="K31" s="42"/>
      <c r="L31" s="42"/>
      <c r="M31" s="42"/>
    </row>
    <row r="32" spans="1:13" ht="135" customHeight="1">
      <c r="A32" s="29">
        <f t="shared" si="0"/>
        <v>2</v>
      </c>
      <c r="B32" s="43">
        <v>3.5</v>
      </c>
      <c r="C32" s="42" t="s">
        <v>194</v>
      </c>
      <c r="D32" s="42" t="str">
        <f t="shared" si="3"/>
        <v>3</v>
      </c>
      <c r="E32" s="33"/>
      <c r="F32" s="42" t="s">
        <v>195</v>
      </c>
      <c r="G32" s="42" t="s">
        <v>196</v>
      </c>
      <c r="H32" s="43" t="s">
        <v>197</v>
      </c>
      <c r="I32" s="42" t="s">
        <v>198</v>
      </c>
      <c r="J32" s="53" t="s">
        <v>199</v>
      </c>
      <c r="K32" s="42"/>
      <c r="L32" s="42"/>
      <c r="M32" s="42"/>
    </row>
    <row r="33" spans="1:13" ht="150">
      <c r="A33" s="29">
        <f t="shared" si="0"/>
        <v>3</v>
      </c>
      <c r="B33" s="43" t="s">
        <v>200</v>
      </c>
      <c r="C33" s="42" t="s">
        <v>201</v>
      </c>
      <c r="D33" s="42" t="str">
        <f t="shared" si="3"/>
        <v>3.5</v>
      </c>
      <c r="E33" s="33"/>
      <c r="F33" s="42" t="s">
        <v>186</v>
      </c>
      <c r="G33" s="42" t="s">
        <v>202</v>
      </c>
      <c r="H33" s="43" t="s">
        <v>203</v>
      </c>
      <c r="I33" s="42" t="s">
        <v>198</v>
      </c>
      <c r="J33" s="53" t="s">
        <v>199</v>
      </c>
      <c r="K33" s="42"/>
      <c r="L33" s="42"/>
      <c r="M33" s="42"/>
    </row>
    <row r="34" spans="1:13" ht="150">
      <c r="A34" s="29">
        <f t="shared" si="0"/>
        <v>3</v>
      </c>
      <c r="B34" s="43" t="s">
        <v>204</v>
      </c>
      <c r="C34" s="42" t="s">
        <v>205</v>
      </c>
      <c r="D34" s="42" t="str">
        <f t="shared" si="3"/>
        <v>3.5</v>
      </c>
      <c r="E34" s="33"/>
      <c r="F34" s="42" t="s">
        <v>186</v>
      </c>
      <c r="G34" s="42" t="s">
        <v>206</v>
      </c>
      <c r="H34" s="43" t="s">
        <v>203</v>
      </c>
      <c r="I34" s="42" t="s">
        <v>198</v>
      </c>
      <c r="J34" s="53" t="s">
        <v>199</v>
      </c>
      <c r="K34" s="42"/>
      <c r="L34" s="42"/>
      <c r="M34" s="42"/>
    </row>
    <row r="35" spans="1:13" ht="150">
      <c r="A35" s="29">
        <f t="shared" si="0"/>
        <v>3</v>
      </c>
      <c r="B35" s="43" t="s">
        <v>207</v>
      </c>
      <c r="C35" s="42" t="s">
        <v>208</v>
      </c>
      <c r="D35" s="42" t="str">
        <f t="shared" si="3"/>
        <v>3.5</v>
      </c>
      <c r="E35" s="33"/>
      <c r="F35" s="42" t="s">
        <v>186</v>
      </c>
      <c r="G35" s="42" t="s">
        <v>209</v>
      </c>
      <c r="H35" s="43" t="s">
        <v>203</v>
      </c>
      <c r="I35" s="42" t="s">
        <v>198</v>
      </c>
      <c r="J35" s="53" t="s">
        <v>199</v>
      </c>
      <c r="K35" s="42"/>
      <c r="L35" s="42"/>
      <c r="M35" s="42"/>
    </row>
    <row r="36" spans="1:13" ht="45" customHeight="1">
      <c r="A36" s="29">
        <f t="shared" si="0"/>
        <v>3</v>
      </c>
      <c r="B36" s="43" t="s">
        <v>210</v>
      </c>
      <c r="C36" s="42" t="s">
        <v>211</v>
      </c>
      <c r="D36" s="42" t="str">
        <f t="shared" si="3"/>
        <v>3.5</v>
      </c>
      <c r="E36" s="33"/>
      <c r="F36" s="42" t="s">
        <v>186</v>
      </c>
      <c r="G36" s="42" t="s">
        <v>212</v>
      </c>
      <c r="H36" s="43" t="s">
        <v>213</v>
      </c>
      <c r="I36" s="42"/>
      <c r="J36" s="42"/>
      <c r="K36" s="42"/>
      <c r="L36" s="42"/>
      <c r="M36" s="42"/>
    </row>
    <row r="37" spans="1:13" ht="87.6">
      <c r="A37" s="29">
        <f t="shared" si="0"/>
        <v>2</v>
      </c>
      <c r="B37" s="43">
        <v>3.6</v>
      </c>
      <c r="C37" s="42" t="s">
        <v>214</v>
      </c>
      <c r="D37" s="42" t="str">
        <f t="shared" si="3"/>
        <v>3</v>
      </c>
      <c r="E37" s="33"/>
      <c r="F37" s="42" t="s">
        <v>215</v>
      </c>
      <c r="G37" s="53" t="s">
        <v>216</v>
      </c>
      <c r="H37" s="55" t="s">
        <v>217</v>
      </c>
      <c r="I37" s="53" t="s">
        <v>218</v>
      </c>
      <c r="J37" s="53" t="s">
        <v>219</v>
      </c>
      <c r="K37" s="42"/>
      <c r="L37" s="42"/>
      <c r="M37" s="42"/>
    </row>
    <row r="38" spans="1:13" ht="87.6">
      <c r="A38" s="29">
        <f t="shared" si="0"/>
        <v>3</v>
      </c>
      <c r="B38" s="43" t="s">
        <v>220</v>
      </c>
      <c r="C38" s="42" t="s">
        <v>221</v>
      </c>
      <c r="D38" s="42" t="str">
        <f t="shared" si="3"/>
        <v>3.6</v>
      </c>
      <c r="E38" s="33"/>
      <c r="F38" s="42" t="s">
        <v>186</v>
      </c>
      <c r="G38" s="42" t="s">
        <v>222</v>
      </c>
      <c r="H38" s="43" t="s">
        <v>217</v>
      </c>
      <c r="I38" s="42" t="s">
        <v>218</v>
      </c>
      <c r="J38" s="42" t="s">
        <v>219</v>
      </c>
      <c r="K38" s="42"/>
      <c r="L38" s="42"/>
      <c r="M38" s="42"/>
    </row>
    <row r="39" spans="1:13" ht="125.1">
      <c r="A39" s="29">
        <f t="shared" si="0"/>
        <v>3</v>
      </c>
      <c r="B39" s="43" t="s">
        <v>223</v>
      </c>
      <c r="C39" s="42" t="s">
        <v>224</v>
      </c>
      <c r="D39" s="42" t="str">
        <f t="shared" si="3"/>
        <v>3.6</v>
      </c>
      <c r="E39" s="33"/>
      <c r="F39" s="42" t="s">
        <v>186</v>
      </c>
      <c r="G39" s="42" t="s">
        <v>225</v>
      </c>
      <c r="H39" s="43" t="s">
        <v>226</v>
      </c>
      <c r="I39" s="42" t="s">
        <v>218</v>
      </c>
      <c r="J39" s="42" t="s">
        <v>227</v>
      </c>
      <c r="K39" s="42"/>
      <c r="L39" s="42"/>
      <c r="M39" s="42"/>
    </row>
    <row r="40" spans="1:13" ht="24.95">
      <c r="A40" s="29">
        <f t="shared" si="0"/>
        <v>2</v>
      </c>
      <c r="B40" s="43">
        <v>3.7</v>
      </c>
      <c r="C40" s="42" t="s">
        <v>228</v>
      </c>
      <c r="D40" s="43">
        <v>0</v>
      </c>
      <c r="E40" s="33"/>
      <c r="F40" s="42" t="s">
        <v>186</v>
      </c>
      <c r="G40" s="42" t="s">
        <v>229</v>
      </c>
      <c r="H40" s="43" t="s">
        <v>230</v>
      </c>
      <c r="I40" s="42" t="s">
        <v>231</v>
      </c>
      <c r="J40" s="42" t="s">
        <v>232</v>
      </c>
      <c r="K40" s="54"/>
      <c r="L40" s="54"/>
      <c r="M40" s="54"/>
    </row>
    <row r="41" spans="1:13" ht="24.95">
      <c r="A41" s="29">
        <f>LEN(B41)-LEN(SUBSTITUTE(B41,".",""))+1</f>
        <v>3</v>
      </c>
      <c r="B41" s="43" t="s">
        <v>233</v>
      </c>
      <c r="C41" s="42" t="s">
        <v>234</v>
      </c>
      <c r="D41" s="42" t="str">
        <f>LEFT(B41,FIND("$",SUBSTITUTE(B41,".","$",LEN(B41)-LEN(SUBSTITUTE(B41,".",""))),1)-1)</f>
        <v>3.7</v>
      </c>
      <c r="E41" s="33"/>
      <c r="F41" s="42" t="s">
        <v>186</v>
      </c>
      <c r="G41" s="42" t="s">
        <v>235</v>
      </c>
      <c r="H41" s="43"/>
      <c r="I41" s="42"/>
      <c r="J41" s="42"/>
      <c r="K41" s="42"/>
      <c r="L41" s="42"/>
      <c r="M41" s="42"/>
    </row>
    <row r="42" spans="1:13" ht="30.6" customHeight="1">
      <c r="A42" s="29">
        <f>LEN(B42)-LEN(SUBSTITUTE(B42,".",""))+1</f>
        <v>3</v>
      </c>
      <c r="B42" s="43" t="s">
        <v>236</v>
      </c>
      <c r="C42" s="42" t="s">
        <v>237</v>
      </c>
      <c r="D42" s="42" t="str">
        <f>LEFT(B42,FIND("$",SUBSTITUTE(B42,".","$",LEN(B42)-LEN(SUBSTITUTE(B42,".",""))),1)-1)</f>
        <v>3.7</v>
      </c>
      <c r="E42" s="33"/>
      <c r="F42" s="42" t="s">
        <v>186</v>
      </c>
      <c r="G42" s="42" t="s">
        <v>238</v>
      </c>
      <c r="H42" s="43"/>
      <c r="I42" s="42"/>
      <c r="J42" s="42"/>
      <c r="K42" s="42"/>
      <c r="L42" s="42"/>
      <c r="M42" s="42"/>
    </row>
    <row r="43" spans="1:13" ht="75">
      <c r="A43" s="29">
        <f t="shared" ref="A43" si="4">LEN(B43)-LEN(SUBSTITUTE(B43,".",""))+1</f>
        <v>2</v>
      </c>
      <c r="B43" s="43">
        <v>3.8</v>
      </c>
      <c r="C43" s="42" t="s">
        <v>239</v>
      </c>
      <c r="D43" s="43">
        <v>0</v>
      </c>
      <c r="E43" s="33"/>
      <c r="F43" s="42" t="s">
        <v>186</v>
      </c>
      <c r="G43" s="42" t="s">
        <v>240</v>
      </c>
      <c r="H43" s="43"/>
      <c r="I43" s="42"/>
      <c r="J43" s="42"/>
      <c r="K43" s="54"/>
      <c r="L43" s="54"/>
      <c r="M43" s="54"/>
    </row>
    <row r="44" spans="1:13">
      <c r="A44" s="29">
        <f t="shared" ref="A44" si="5">LEN(B44)-LEN(SUBSTITUTE(B44,".",""))+1</f>
        <v>1</v>
      </c>
      <c r="B44" s="43">
        <v>4</v>
      </c>
      <c r="C44" s="42" t="s">
        <v>239</v>
      </c>
      <c r="D44" s="43">
        <v>0</v>
      </c>
      <c r="E44" s="33"/>
      <c r="F44" s="42" t="s">
        <v>195</v>
      </c>
      <c r="G44" s="42"/>
      <c r="H44" s="43"/>
      <c r="I44" s="42"/>
      <c r="J44" s="42"/>
      <c r="K44" s="54"/>
      <c r="L44" s="54"/>
      <c r="M44" s="54"/>
    </row>
    <row r="45" spans="1:13">
      <c r="A45" s="29">
        <f t="shared" ref="A45" si="6">LEN(B45)-LEN(SUBSTITUTE(B45,".",""))+1</f>
        <v>2</v>
      </c>
      <c r="B45" s="43">
        <v>4.0999999999999996</v>
      </c>
      <c r="C45" s="42" t="s">
        <v>241</v>
      </c>
      <c r="D45" s="42" t="str">
        <f t="shared" ref="D45" si="7">LEFT(B45,FIND("$",SUBSTITUTE(B45,".","$",LEN(B45)-LEN(SUBSTITUTE(B45,".",""))),1)-1)</f>
        <v>4</v>
      </c>
      <c r="E45" s="33"/>
      <c r="F45" s="42"/>
      <c r="G45" s="42"/>
      <c r="H45" s="43"/>
      <c r="I45" s="42"/>
      <c r="J45" s="42"/>
      <c r="K45" s="54"/>
      <c r="L45" s="54"/>
      <c r="M45" s="54"/>
    </row>
    <row r="46" spans="1:13" s="5" customFormat="1" ht="128.44999999999999" customHeight="1">
      <c r="A46" s="89">
        <f>LEN(B46)-LEN(SUBSTITUTE(B46,".",""))+1</f>
        <v>3</v>
      </c>
      <c r="B46" s="43" t="s">
        <v>242</v>
      </c>
      <c r="C46" s="48" t="s">
        <v>243</v>
      </c>
      <c r="D46" s="42" t="s">
        <v>244</v>
      </c>
      <c r="E46" s="90"/>
      <c r="F46" s="91" t="s">
        <v>245</v>
      </c>
      <c r="G46" s="92" t="s">
        <v>246</v>
      </c>
      <c r="H46" s="93" t="s">
        <v>247</v>
      </c>
      <c r="I46" s="93" t="s">
        <v>248</v>
      </c>
      <c r="J46" s="91" t="s">
        <v>249</v>
      </c>
      <c r="K46" s="92" t="s">
        <v>250</v>
      </c>
      <c r="L46" s="92"/>
      <c r="M46" s="92"/>
    </row>
    <row r="47" spans="1:13" s="5" customFormat="1" ht="99" customHeight="1">
      <c r="A47" s="89">
        <f>LEN(B47)-LEN(SUBSTITUTE(B47,".",""))+1</f>
        <v>3</v>
      </c>
      <c r="B47" s="43" t="s">
        <v>251</v>
      </c>
      <c r="C47" s="48" t="s">
        <v>252</v>
      </c>
      <c r="D47" s="42" t="s">
        <v>244</v>
      </c>
      <c r="E47" s="90"/>
      <c r="F47" s="91" t="s">
        <v>245</v>
      </c>
      <c r="G47" s="92" t="s">
        <v>253</v>
      </c>
      <c r="H47" s="93" t="s">
        <v>247</v>
      </c>
      <c r="I47" s="93" t="s">
        <v>254</v>
      </c>
      <c r="J47" s="91" t="s">
        <v>249</v>
      </c>
      <c r="K47" s="92"/>
      <c r="L47" s="92"/>
      <c r="M47" s="92"/>
    </row>
    <row r="48" spans="1:13" s="5" customFormat="1" ht="72" customHeight="1">
      <c r="A48" s="89">
        <f>LEN(B48)-LEN(SUBSTITUTE(B48,".",""))+1</f>
        <v>2</v>
      </c>
      <c r="B48" s="43" t="s">
        <v>255</v>
      </c>
      <c r="C48" s="48" t="s">
        <v>256</v>
      </c>
      <c r="D48" s="42" t="str">
        <f>LEFT(B48,FIND("$",SUBSTITUTE(B48,".","$",LEN(B48)-LEN(SUBSTITUTE(B48,".",""))),1)-1)</f>
        <v>4,1</v>
      </c>
      <c r="E48" s="90"/>
      <c r="F48" s="91" t="s">
        <v>257</v>
      </c>
      <c r="G48" s="92" t="s">
        <v>258</v>
      </c>
      <c r="H48" s="93" t="s">
        <v>259</v>
      </c>
      <c r="I48" s="93" t="s">
        <v>260</v>
      </c>
      <c r="J48" s="93" t="s">
        <v>261</v>
      </c>
      <c r="K48" s="92"/>
      <c r="L48" s="92"/>
      <c r="M48" s="92"/>
    </row>
    <row r="49" spans="1:13" s="5" customFormat="1" ht="111.6" customHeight="1">
      <c r="A49" s="89">
        <f>LEN(B49)-LEN(SUBSTITUTE(B49,".",""))+1</f>
        <v>3</v>
      </c>
      <c r="B49" s="43" t="s">
        <v>262</v>
      </c>
      <c r="C49" s="48" t="s">
        <v>263</v>
      </c>
      <c r="D49" s="42" t="str">
        <f>LEFT(B49,FIND("$",SUBSTITUTE(B49,".","$",LEN(B49)-LEN(SUBSTITUTE(B49,".",""))),1)-1)</f>
        <v>4.1</v>
      </c>
      <c r="E49" s="90"/>
      <c r="F49" s="91" t="s">
        <v>264</v>
      </c>
      <c r="G49" s="91" t="s">
        <v>265</v>
      </c>
      <c r="H49" s="93" t="s">
        <v>266</v>
      </c>
      <c r="I49" s="93" t="s">
        <v>267</v>
      </c>
      <c r="J49" s="93" t="s">
        <v>268</v>
      </c>
      <c r="K49" s="92"/>
      <c r="L49" s="94"/>
      <c r="M49" s="94"/>
    </row>
    <row r="50" spans="1:13">
      <c r="A50" s="29">
        <f t="shared" ref="A50:A51" si="8">LEN(B50)-LEN(SUBSTITUTE(B50,".",""))+1</f>
        <v>2</v>
      </c>
      <c r="B50" s="43">
        <v>4.2</v>
      </c>
      <c r="C50" s="42" t="s">
        <v>269</v>
      </c>
      <c r="D50" s="42" t="str">
        <f t="shared" ref="D50" si="9">LEFT(B50,FIND("$",SUBSTITUTE(B50,".","$",LEN(B50)-LEN(SUBSTITUTE(B50,".",""))),1)-1)</f>
        <v>4</v>
      </c>
      <c r="E50" s="33"/>
      <c r="F50" s="42"/>
      <c r="G50" s="42"/>
      <c r="H50" s="43"/>
      <c r="I50" s="42"/>
      <c r="J50" s="42"/>
      <c r="K50" s="54"/>
      <c r="L50" s="54"/>
      <c r="M50" s="54"/>
    </row>
    <row r="51" spans="1:13" s="5" customFormat="1" ht="72" customHeight="1">
      <c r="A51" s="89">
        <f t="shared" si="8"/>
        <v>3</v>
      </c>
      <c r="B51" s="43" t="s">
        <v>270</v>
      </c>
      <c r="C51" s="42" t="s">
        <v>271</v>
      </c>
      <c r="D51" s="42" t="str">
        <f t="shared" ref="D51:D52" si="10">LEFT(B51,FIND("$",SUBSTITUTE(B51,".","$",LEN(B51)-LEN(SUBSTITUTE(B51,".",""))),1)-1)</f>
        <v>4.2</v>
      </c>
      <c r="E51" s="90"/>
      <c r="F51" s="92"/>
      <c r="G51" s="92" t="s">
        <v>272</v>
      </c>
      <c r="H51" s="93" t="s">
        <v>217</v>
      </c>
      <c r="I51" s="92" t="s">
        <v>218</v>
      </c>
      <c r="J51" s="92" t="s">
        <v>219</v>
      </c>
      <c r="K51" s="92"/>
      <c r="L51" s="92"/>
      <c r="M51" s="92"/>
    </row>
    <row r="52" spans="1:13">
      <c r="A52" s="29">
        <f t="shared" ref="A52" si="11">LEN(B52)-LEN(SUBSTITUTE(B52,".",""))+1</f>
        <v>2</v>
      </c>
      <c r="B52" s="43">
        <v>4.3</v>
      </c>
      <c r="C52" s="42" t="s">
        <v>273</v>
      </c>
      <c r="D52" s="42" t="str">
        <f t="shared" si="10"/>
        <v>4</v>
      </c>
      <c r="E52" s="33"/>
      <c r="F52" s="42"/>
      <c r="G52" s="42"/>
      <c r="H52" s="43"/>
      <c r="I52" s="42"/>
      <c r="J52" s="42"/>
      <c r="K52" s="54"/>
      <c r="L52" s="54"/>
      <c r="M52" s="54"/>
    </row>
    <row r="53" spans="1:13" ht="37.5">
      <c r="A53" s="29">
        <f>LEN(B53)-LEN(SUBSTITUTE(B53,".",""))+1</f>
        <v>3</v>
      </c>
      <c r="B53" s="43" t="s">
        <v>274</v>
      </c>
      <c r="C53" s="42" t="s">
        <v>273</v>
      </c>
      <c r="D53" s="42" t="str">
        <f>LEFT(B53,FIND("$",SUBSTITUTE(B53,".","$",LEN(B53)-LEN(SUBSTITUTE(B53,".",""))),1)-1)</f>
        <v>4.3</v>
      </c>
      <c r="E53" s="33"/>
      <c r="F53" s="42"/>
      <c r="G53" s="42" t="s">
        <v>275</v>
      </c>
      <c r="H53" s="43" t="s">
        <v>276</v>
      </c>
      <c r="I53" s="42" t="s">
        <v>248</v>
      </c>
      <c r="J53" s="42" t="s">
        <v>277</v>
      </c>
      <c r="K53" s="42" t="s">
        <v>250</v>
      </c>
      <c r="L53" s="42"/>
      <c r="M53" s="42"/>
    </row>
    <row r="54" spans="1:13" s="57" customFormat="1" ht="94.35" customHeight="1">
      <c r="A54" s="29">
        <f t="shared" si="0"/>
        <v>1</v>
      </c>
      <c r="B54" s="43">
        <v>5</v>
      </c>
      <c r="C54" s="42" t="s">
        <v>278</v>
      </c>
      <c r="D54" s="43">
        <v>0</v>
      </c>
      <c r="E54" s="45"/>
      <c r="F54" s="46"/>
      <c r="G54" s="42"/>
      <c r="H54" s="47"/>
      <c r="I54" s="56"/>
      <c r="J54" s="56"/>
      <c r="K54" s="56"/>
      <c r="L54" s="56"/>
      <c r="M54" s="56"/>
    </row>
    <row r="55" spans="1:13" s="57" customFormat="1" ht="112.5">
      <c r="A55" s="29">
        <f t="shared" si="0"/>
        <v>2</v>
      </c>
      <c r="B55" s="43">
        <v>5.0999999999999996</v>
      </c>
      <c r="C55" s="42" t="s">
        <v>279</v>
      </c>
      <c r="D55" s="42" t="str">
        <f t="shared" ref="D55:D62" si="12">LEFT(B55,FIND("$",SUBSTITUTE(B55,".","$",LEN(B55)-LEN(SUBSTITUTE(B55,".",""))),1)-1)</f>
        <v>5</v>
      </c>
      <c r="E55" s="45"/>
      <c r="F55" s="46" t="s">
        <v>195</v>
      </c>
      <c r="G55" s="59" t="s">
        <v>280</v>
      </c>
      <c r="H55" s="47" t="s">
        <v>281</v>
      </c>
      <c r="I55" s="46" t="s">
        <v>282</v>
      </c>
      <c r="J55" s="46" t="s">
        <v>283</v>
      </c>
      <c r="K55" s="56"/>
      <c r="L55" s="56"/>
      <c r="M55" s="56"/>
    </row>
    <row r="56" spans="1:13" s="57" customFormat="1" ht="62.45">
      <c r="A56" s="29">
        <f t="shared" si="0"/>
        <v>2</v>
      </c>
      <c r="B56" s="43">
        <v>5.2</v>
      </c>
      <c r="C56" s="42" t="s">
        <v>284</v>
      </c>
      <c r="D56" s="42" t="str">
        <f t="shared" si="12"/>
        <v>5</v>
      </c>
      <c r="E56" s="45"/>
      <c r="F56" s="46" t="s">
        <v>285</v>
      </c>
      <c r="G56" s="46" t="s">
        <v>286</v>
      </c>
      <c r="H56" s="47" t="s">
        <v>287</v>
      </c>
      <c r="I56" s="46" t="s">
        <v>288</v>
      </c>
      <c r="J56" s="46" t="s">
        <v>289</v>
      </c>
      <c r="K56" s="56"/>
      <c r="L56" s="56"/>
      <c r="M56" s="46" t="s">
        <v>290</v>
      </c>
    </row>
    <row r="57" spans="1:13" s="57" customFormat="1" ht="24.95">
      <c r="A57" s="29">
        <f t="shared" si="0"/>
        <v>2</v>
      </c>
      <c r="B57" s="43">
        <v>5.3</v>
      </c>
      <c r="C57" s="42" t="s">
        <v>291</v>
      </c>
      <c r="D57" s="42" t="str">
        <f t="shared" si="12"/>
        <v>5</v>
      </c>
      <c r="E57" s="45"/>
      <c r="F57" s="46"/>
      <c r="G57" s="46" t="s">
        <v>292</v>
      </c>
      <c r="H57" s="47" t="s">
        <v>281</v>
      </c>
      <c r="I57" s="46" t="s">
        <v>293</v>
      </c>
      <c r="J57" s="46"/>
      <c r="K57" s="56"/>
      <c r="L57" s="56"/>
      <c r="M57" s="56"/>
    </row>
    <row r="58" spans="1:13" s="57" customFormat="1" ht="37.5">
      <c r="A58" s="29">
        <f t="shared" si="0"/>
        <v>2</v>
      </c>
      <c r="B58" s="43">
        <v>5.4</v>
      </c>
      <c r="C58" s="42" t="s">
        <v>294</v>
      </c>
      <c r="D58" s="42" t="str">
        <f t="shared" si="12"/>
        <v>5</v>
      </c>
      <c r="E58" s="45"/>
      <c r="F58" s="46"/>
      <c r="G58" s="46" t="s">
        <v>295</v>
      </c>
      <c r="H58" s="47" t="s">
        <v>296</v>
      </c>
      <c r="I58" s="46"/>
      <c r="J58" s="46"/>
      <c r="K58" s="56"/>
      <c r="L58" s="56" t="s">
        <v>297</v>
      </c>
      <c r="M58" s="56"/>
    </row>
    <row r="59" spans="1:13" s="57" customFormat="1" ht="62.45">
      <c r="A59" s="29">
        <f t="shared" si="0"/>
        <v>2</v>
      </c>
      <c r="B59" s="43">
        <v>5.5</v>
      </c>
      <c r="C59" s="42" t="s">
        <v>298</v>
      </c>
      <c r="D59" s="42" t="str">
        <f t="shared" si="12"/>
        <v>5</v>
      </c>
      <c r="E59" s="45"/>
      <c r="F59" s="46"/>
      <c r="G59" s="46" t="s">
        <v>299</v>
      </c>
      <c r="H59" s="47" t="s">
        <v>300</v>
      </c>
      <c r="I59" s="46" t="s">
        <v>301</v>
      </c>
      <c r="J59" s="46" t="s">
        <v>302</v>
      </c>
      <c r="K59" s="56"/>
      <c r="L59" s="56"/>
      <c r="M59" s="56"/>
    </row>
    <row r="60" spans="1:13" s="57" customFormat="1">
      <c r="A60" s="29">
        <f t="shared" si="0"/>
        <v>2</v>
      </c>
      <c r="B60" s="43">
        <v>5.6</v>
      </c>
      <c r="C60" s="42" t="s">
        <v>303</v>
      </c>
      <c r="D60" s="42" t="str">
        <f t="shared" si="12"/>
        <v>5</v>
      </c>
      <c r="E60" s="45"/>
      <c r="F60" s="46"/>
      <c r="G60" s="46" t="s">
        <v>304</v>
      </c>
      <c r="H60" s="47" t="s">
        <v>296</v>
      </c>
      <c r="I60" s="46"/>
      <c r="J60" s="46"/>
      <c r="K60" s="56"/>
      <c r="L60" s="56" t="s">
        <v>297</v>
      </c>
      <c r="M60" s="56"/>
    </row>
    <row r="61" spans="1:13" s="57" customFormat="1" ht="99.95">
      <c r="A61" s="29">
        <f t="shared" si="0"/>
        <v>2</v>
      </c>
      <c r="B61" s="43">
        <v>5.7</v>
      </c>
      <c r="C61" s="42" t="s">
        <v>305</v>
      </c>
      <c r="D61" s="42" t="str">
        <f t="shared" si="12"/>
        <v>5</v>
      </c>
      <c r="E61" s="45"/>
      <c r="F61" s="46"/>
      <c r="G61" s="46" t="s">
        <v>306</v>
      </c>
      <c r="H61" s="47" t="s">
        <v>307</v>
      </c>
      <c r="I61" s="46" t="s">
        <v>308</v>
      </c>
      <c r="J61" s="46" t="s">
        <v>309</v>
      </c>
      <c r="K61" s="46"/>
      <c r="L61" s="46"/>
      <c r="M61" s="46"/>
    </row>
    <row r="62" spans="1:13" s="57" customFormat="1" ht="24.95">
      <c r="A62" s="29">
        <f t="shared" si="0"/>
        <v>2</v>
      </c>
      <c r="B62" s="43">
        <v>5.8</v>
      </c>
      <c r="C62" s="42" t="s">
        <v>310</v>
      </c>
      <c r="D62" s="42" t="str">
        <f t="shared" si="12"/>
        <v>5</v>
      </c>
      <c r="E62" s="45"/>
      <c r="F62" s="46"/>
      <c r="G62" s="46" t="s">
        <v>311</v>
      </c>
      <c r="H62" s="47" t="s">
        <v>296</v>
      </c>
      <c r="I62" s="46" t="s">
        <v>312</v>
      </c>
      <c r="J62" s="46"/>
      <c r="K62" s="46"/>
      <c r="L62" s="46"/>
      <c r="M62" s="46"/>
    </row>
    <row r="63" spans="1:13">
      <c r="A63" s="29">
        <f>LEN(B63)-LEN(SUBSTITUTE(B63,".",""))+1</f>
        <v>2</v>
      </c>
      <c r="B63" s="43">
        <v>5.9</v>
      </c>
      <c r="C63" s="54" t="s">
        <v>313</v>
      </c>
      <c r="D63" s="54" t="str">
        <f>LEFT(B63,FIND("$",SUBSTITUTE(B63,".","$",LEN(B63)-LEN(SUBSTITUTE(B63,".",""))),1)-1)</f>
        <v>5</v>
      </c>
      <c r="F63" s="54" t="s">
        <v>314</v>
      </c>
      <c r="G63" s="54" t="s">
        <v>315</v>
      </c>
      <c r="H63" s="43"/>
      <c r="I63" s="42" t="s">
        <v>316</v>
      </c>
      <c r="J63" s="54"/>
      <c r="K63" s="54"/>
      <c r="L63" s="54"/>
      <c r="M63" s="54" t="s">
        <v>317</v>
      </c>
    </row>
    <row r="64" spans="1:13">
      <c r="A64" s="29">
        <f t="shared" si="0"/>
        <v>1</v>
      </c>
      <c r="B64" s="43">
        <v>6</v>
      </c>
      <c r="C64" s="42" t="s">
        <v>318</v>
      </c>
      <c r="D64" s="43">
        <v>0</v>
      </c>
      <c r="E64" s="33"/>
      <c r="F64" s="42"/>
      <c r="G64" s="42"/>
      <c r="H64" s="43"/>
      <c r="I64" s="54"/>
      <c r="J64" s="54"/>
      <c r="K64" s="54"/>
      <c r="L64" s="54"/>
      <c r="M64" s="54"/>
    </row>
    <row r="65" spans="1:21" ht="50.1">
      <c r="A65" s="29">
        <f t="shared" si="0"/>
        <v>2</v>
      </c>
      <c r="B65" s="43">
        <v>6.1</v>
      </c>
      <c r="C65" s="42" t="s">
        <v>319</v>
      </c>
      <c r="D65" s="42" t="str">
        <f>LEFT(B65,FIND("$",SUBSTITUTE(B65,".","$",LEN(B65)-LEN(SUBSTITUTE(B65,".",""))),1)-1)</f>
        <v>6</v>
      </c>
      <c r="E65" s="33"/>
      <c r="F65" s="42"/>
      <c r="G65" s="42" t="s">
        <v>320</v>
      </c>
      <c r="H65" s="43" t="s">
        <v>321</v>
      </c>
      <c r="I65" s="42" t="s">
        <v>322</v>
      </c>
      <c r="J65" s="42" t="s">
        <v>323</v>
      </c>
      <c r="K65" s="54"/>
      <c r="L65" s="54"/>
      <c r="M65" s="54"/>
    </row>
    <row r="66" spans="1:21" ht="37.5">
      <c r="A66" s="29">
        <f t="shared" si="0"/>
        <v>2</v>
      </c>
      <c r="B66" s="43">
        <v>6.2</v>
      </c>
      <c r="C66" s="42" t="s">
        <v>324</v>
      </c>
      <c r="D66" s="42" t="str">
        <f t="shared" ref="D66" si="13">LEFT(B66,FIND("$",SUBSTITUTE(B66,".","$",LEN(B66)-LEN(SUBSTITUTE(B66,".",""))),1)-1)</f>
        <v>6</v>
      </c>
      <c r="E66" s="33"/>
      <c r="F66" s="42"/>
      <c r="G66" s="42" t="s">
        <v>325</v>
      </c>
      <c r="H66" s="43" t="s">
        <v>321</v>
      </c>
      <c r="I66" s="42" t="s">
        <v>326</v>
      </c>
      <c r="J66" s="42" t="s">
        <v>327</v>
      </c>
      <c r="K66" s="54"/>
      <c r="L66" s="54"/>
      <c r="M66" s="54"/>
    </row>
    <row r="67" spans="1:21" ht="87.6">
      <c r="A67" s="29">
        <f t="shared" ref="A67" si="14">LEN(B67)-LEN(SUBSTITUTE(B67,".",""))+1</f>
        <v>2</v>
      </c>
      <c r="B67" s="43">
        <v>6.3</v>
      </c>
      <c r="C67" s="42" t="s">
        <v>328</v>
      </c>
      <c r="D67" s="42" t="str">
        <f>LEFT(B67,FIND("$",SUBSTITUTE(B67,".","$",LEN(B67)-LEN(SUBSTITUTE(B67,".",""))),1)-1)</f>
        <v>6</v>
      </c>
      <c r="E67" s="33"/>
      <c r="F67" s="42"/>
      <c r="G67" s="42" t="s">
        <v>329</v>
      </c>
      <c r="H67" s="43" t="s">
        <v>321</v>
      </c>
      <c r="I67" s="42"/>
      <c r="J67" s="42" t="s">
        <v>328</v>
      </c>
      <c r="K67" s="54"/>
      <c r="L67" s="54"/>
      <c r="M67" s="54"/>
    </row>
    <row r="70" spans="1:21" s="5" customFormat="1" ht="13.5">
      <c r="B70" s="11"/>
      <c r="C70" s="96"/>
      <c r="D70" s="96"/>
      <c r="E70" s="120"/>
      <c r="F70" s="119"/>
      <c r="G70" s="121" t="s">
        <v>51</v>
      </c>
      <c r="H70" s="119"/>
      <c r="I70" s="11"/>
      <c r="J70" s="11"/>
      <c r="K70" s="97"/>
      <c r="L70" s="96"/>
      <c r="M70" s="96"/>
      <c r="S70" s="11"/>
      <c r="T70" s="11"/>
      <c r="U70" s="11"/>
    </row>
    <row r="71" spans="1:21" s="5" customFormat="1">
      <c r="B71" s="12"/>
      <c r="C71" s="12"/>
      <c r="D71" s="12"/>
      <c r="E71" s="12"/>
      <c r="F71" s="12"/>
      <c r="G71" s="116" t="s">
        <v>52</v>
      </c>
      <c r="H71" s="12"/>
      <c r="I71" s="12"/>
      <c r="J71" s="12"/>
      <c r="K71" s="12"/>
      <c r="L71" s="12"/>
      <c r="M71" s="12"/>
      <c r="S71" s="11"/>
      <c r="T71" s="11"/>
      <c r="U71" s="11"/>
    </row>
    <row r="72" spans="1:21" s="5" customFormat="1">
      <c r="B72" s="123"/>
      <c r="C72" s="123"/>
      <c r="D72" s="123"/>
      <c r="E72" s="4"/>
      <c r="F72" s="13"/>
      <c r="G72" s="22" t="s">
        <v>53</v>
      </c>
      <c r="H72" s="14" t="s">
        <v>54</v>
      </c>
      <c r="J72" s="13"/>
      <c r="K72" s="14"/>
      <c r="M72" s="14"/>
      <c r="N72" s="13"/>
      <c r="O72" s="13"/>
      <c r="P72" s="13"/>
      <c r="Q72" s="4"/>
    </row>
  </sheetData>
  <autoFilter ref="A4:AO66" xr:uid="{00000000-0009-0000-0000-000002000000}"/>
  <mergeCells count="3">
    <mergeCell ref="B1:E1"/>
    <mergeCell ref="B2:E2"/>
    <mergeCell ref="G3:M3"/>
  </mergeCells>
  <printOptions horizontalCentered="1"/>
  <pageMargins left="0.19685039370078741" right="0.19685039370078741" top="0.39370078740157483" bottom="0.39370078740157483" header="0.19685039370078741" footer="0.19685039370078741"/>
  <pageSetup paperSize="9" scale="72" fitToHeight="3" orientation="portrait" r:id="rId1"/>
  <headerFooter alignWithMargins="0">
    <oddHeader>&amp;L&amp;"Arial Black"&amp;10&amp;K76923C  &amp;1#_x000D_</oddHeader>
    <oddFooter>&amp;C_x000D_&amp;1#&amp;"Arial Black"&amp;10&amp;K76923C {Hitachi Rail – Internal}</oddFoot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B1:AM50"/>
  <sheetViews>
    <sheetView showGridLines="0" zoomScale="78" zoomScaleNormal="78" zoomScaleSheetLayoutView="100" workbookViewId="0">
      <pane xSplit="3" ySplit="5" topLeftCell="D6" activePane="bottomRight" state="frozen"/>
      <selection pane="bottomRight" activeCell="E31" sqref="E31"/>
      <selection pane="bottomLeft" activeCell="A3" sqref="A3"/>
      <selection pane="topRight" activeCell="A3" sqref="A3"/>
    </sheetView>
  </sheetViews>
  <sheetFormatPr defaultColWidth="34.5703125" defaultRowHeight="12.6"/>
  <cols>
    <col min="1" max="1" width="5.42578125" style="57" customWidth="1"/>
    <col min="2" max="2" width="21.42578125" style="57" customWidth="1"/>
    <col min="3" max="3" width="36.42578125" style="57" customWidth="1"/>
    <col min="4" max="4" width="43.42578125" style="57" customWidth="1"/>
    <col min="5" max="5" width="48.42578125" style="57" customWidth="1"/>
    <col min="6" max="6" width="21" style="57" customWidth="1"/>
    <col min="7" max="7" width="36.5703125" style="57" customWidth="1"/>
    <col min="8" max="8" width="10.85546875" style="57" customWidth="1"/>
    <col min="9" max="9" width="45.140625" style="57" customWidth="1"/>
    <col min="10" max="16384" width="34.5703125" style="57"/>
  </cols>
  <sheetData>
    <row r="1" spans="2:39" ht="18">
      <c r="B1" s="151" t="s">
        <v>330</v>
      </c>
      <c r="C1" s="151"/>
      <c r="D1" s="151"/>
      <c r="E1" s="151"/>
      <c r="F1" s="151"/>
      <c r="G1" s="151"/>
      <c r="H1" s="60"/>
      <c r="I1" s="60"/>
      <c r="J1" s="60"/>
      <c r="K1" s="60"/>
      <c r="L1" s="60"/>
      <c r="M1" s="60"/>
      <c r="N1" s="60"/>
      <c r="O1" s="60"/>
      <c r="P1" s="60"/>
      <c r="Q1" s="60"/>
      <c r="R1" s="60"/>
      <c r="S1" s="60"/>
      <c r="T1" s="60"/>
      <c r="U1" s="60"/>
      <c r="V1" s="60"/>
      <c r="W1" s="60"/>
      <c r="X1" s="60"/>
      <c r="Y1" s="60"/>
      <c r="Z1" s="60"/>
      <c r="AA1" s="60"/>
      <c r="AB1" s="60"/>
      <c r="AC1" s="60"/>
      <c r="AD1" s="60"/>
      <c r="AE1" s="60"/>
      <c r="AF1" s="60"/>
      <c r="AG1" s="60"/>
      <c r="AH1" s="60"/>
      <c r="AI1" s="60"/>
      <c r="AJ1" s="60"/>
      <c r="AK1" s="60"/>
      <c r="AL1" s="60"/>
      <c r="AM1" s="60"/>
    </row>
    <row r="2" spans="2:39">
      <c r="B2" s="152" t="str">
        <f>'Template change log &amp; approval'!$B$7&amp;" - "&amp;'Template change log &amp; approval'!$G$7</f>
        <v xml:space="preserve"> - </v>
      </c>
      <c r="C2" s="152"/>
      <c r="D2" s="152"/>
      <c r="E2" s="152"/>
      <c r="F2" s="152"/>
      <c r="G2" s="152"/>
    </row>
    <row r="4" spans="2:39" ht="18.600000000000001">
      <c r="B4" s="61" t="s">
        <v>60</v>
      </c>
      <c r="C4" s="61" t="s">
        <v>61</v>
      </c>
      <c r="D4" s="61" t="s">
        <v>10</v>
      </c>
      <c r="E4" s="61" t="s">
        <v>331</v>
      </c>
      <c r="F4" s="62" t="s">
        <v>332</v>
      </c>
      <c r="G4" s="61" t="s">
        <v>333</v>
      </c>
    </row>
    <row r="5" spans="2:39" ht="15.6">
      <c r="B5" s="63" t="s">
        <v>334</v>
      </c>
      <c r="C5" s="63" t="s">
        <v>334</v>
      </c>
      <c r="D5" s="63"/>
      <c r="E5" s="63"/>
      <c r="F5" s="64"/>
      <c r="G5" s="63"/>
    </row>
    <row r="6" spans="2:39" ht="14.45">
      <c r="B6" s="65" t="s">
        <v>335</v>
      </c>
      <c r="C6" s="65" t="s">
        <v>72</v>
      </c>
      <c r="D6" s="65"/>
      <c r="E6" s="65" t="s">
        <v>336</v>
      </c>
      <c r="F6" s="37">
        <v>5.2</v>
      </c>
      <c r="G6" s="65" t="s">
        <v>337</v>
      </c>
      <c r="I6" s="66" t="s">
        <v>338</v>
      </c>
    </row>
    <row r="7" spans="2:39" ht="14.45">
      <c r="B7" s="67" t="s">
        <v>339</v>
      </c>
      <c r="C7" s="67" t="s">
        <v>72</v>
      </c>
      <c r="D7" s="67" t="s">
        <v>340</v>
      </c>
      <c r="E7" s="67" t="s">
        <v>336</v>
      </c>
      <c r="F7" s="68">
        <v>5.2</v>
      </c>
      <c r="G7" s="67" t="s">
        <v>337</v>
      </c>
      <c r="I7" s="46" t="s">
        <v>341</v>
      </c>
    </row>
    <row r="8" spans="2:39" ht="14.45">
      <c r="B8" s="67" t="s">
        <v>342</v>
      </c>
      <c r="C8" s="67" t="s">
        <v>343</v>
      </c>
      <c r="D8" s="67" t="s">
        <v>344</v>
      </c>
      <c r="E8" s="67"/>
      <c r="F8" s="68">
        <v>2.1</v>
      </c>
      <c r="G8" s="67"/>
      <c r="I8" s="46"/>
    </row>
    <row r="9" spans="2:39" ht="29.1">
      <c r="B9" s="67" t="s">
        <v>345</v>
      </c>
      <c r="C9" s="67" t="s">
        <v>85</v>
      </c>
      <c r="D9" s="67" t="s">
        <v>346</v>
      </c>
      <c r="E9" s="67" t="s">
        <v>347</v>
      </c>
      <c r="F9" s="68">
        <v>9.8000000000000007</v>
      </c>
      <c r="G9" s="67" t="s">
        <v>348</v>
      </c>
      <c r="I9" s="46"/>
    </row>
    <row r="10" spans="2:39" ht="29.1">
      <c r="B10" s="67" t="s">
        <v>349</v>
      </c>
      <c r="C10" s="67" t="s">
        <v>90</v>
      </c>
      <c r="D10" s="67" t="s">
        <v>350</v>
      </c>
      <c r="E10" s="67" t="s">
        <v>351</v>
      </c>
      <c r="F10" s="68">
        <v>7.1</v>
      </c>
      <c r="G10" s="67" t="s">
        <v>352</v>
      </c>
      <c r="I10" s="46" t="s">
        <v>353</v>
      </c>
    </row>
    <row r="11" spans="2:39" ht="19.350000000000001" customHeight="1">
      <c r="B11" s="67" t="s">
        <v>354</v>
      </c>
      <c r="C11" s="67" t="s">
        <v>95</v>
      </c>
      <c r="D11" s="67" t="s">
        <v>355</v>
      </c>
      <c r="E11" s="67" t="s">
        <v>356</v>
      </c>
      <c r="F11" s="68">
        <v>4.0999999999999996</v>
      </c>
      <c r="G11" s="69" t="s">
        <v>357</v>
      </c>
      <c r="I11" s="58"/>
    </row>
    <row r="12" spans="2:39" ht="29.1">
      <c r="B12" s="67" t="s">
        <v>358</v>
      </c>
      <c r="C12" s="56" t="s">
        <v>99</v>
      </c>
      <c r="D12" s="72" t="s">
        <v>359</v>
      </c>
      <c r="E12" s="67" t="s">
        <v>360</v>
      </c>
      <c r="F12" s="68">
        <v>8.1</v>
      </c>
      <c r="G12" s="73" t="s">
        <v>361</v>
      </c>
      <c r="I12" s="58"/>
    </row>
    <row r="13" spans="2:39" ht="15.6">
      <c r="B13" s="70" t="s">
        <v>362</v>
      </c>
      <c r="C13" s="70" t="s">
        <v>104</v>
      </c>
      <c r="D13" s="70"/>
      <c r="E13" s="70"/>
      <c r="F13" s="71"/>
      <c r="G13" s="70"/>
      <c r="I13" s="46"/>
    </row>
    <row r="14" spans="2:39" ht="159.6">
      <c r="B14" s="67" t="s">
        <v>363</v>
      </c>
      <c r="C14" s="67" t="s">
        <v>105</v>
      </c>
      <c r="D14" s="67" t="s">
        <v>364</v>
      </c>
      <c r="E14" s="67" t="s">
        <v>365</v>
      </c>
      <c r="F14" s="68" t="s">
        <v>366</v>
      </c>
      <c r="G14" s="67" t="s">
        <v>367</v>
      </c>
      <c r="I14" s="46"/>
    </row>
    <row r="15" spans="2:39" ht="57.95">
      <c r="B15" s="67" t="s">
        <v>368</v>
      </c>
      <c r="C15" s="67" t="s">
        <v>111</v>
      </c>
      <c r="D15" s="67" t="s">
        <v>369</v>
      </c>
      <c r="E15" s="67" t="s">
        <v>370</v>
      </c>
      <c r="F15" s="68">
        <v>4.0999999999999996</v>
      </c>
      <c r="G15" s="69" t="s">
        <v>371</v>
      </c>
      <c r="I15" s="46"/>
    </row>
    <row r="16" spans="2:39" ht="43.5">
      <c r="B16" s="67" t="s">
        <v>372</v>
      </c>
      <c r="C16" s="67" t="s">
        <v>373</v>
      </c>
      <c r="D16" s="67" t="s">
        <v>374</v>
      </c>
      <c r="E16" s="67" t="s">
        <v>375</v>
      </c>
      <c r="F16" s="68">
        <v>6.1</v>
      </c>
      <c r="G16" s="67" t="s">
        <v>376</v>
      </c>
      <c r="I16" s="46"/>
    </row>
    <row r="17" spans="2:9" ht="27.6" customHeight="1">
      <c r="B17" s="67" t="s">
        <v>377</v>
      </c>
      <c r="C17" s="67" t="s">
        <v>124</v>
      </c>
      <c r="D17" s="67" t="s">
        <v>378</v>
      </c>
      <c r="E17" s="67" t="s">
        <v>379</v>
      </c>
      <c r="F17" s="68" t="s">
        <v>380</v>
      </c>
      <c r="G17" s="67" t="s">
        <v>381</v>
      </c>
      <c r="I17" s="58" t="s">
        <v>382</v>
      </c>
    </row>
    <row r="18" spans="2:9" ht="15.6">
      <c r="B18" s="70" t="s">
        <v>383</v>
      </c>
      <c r="C18" s="70" t="s">
        <v>132</v>
      </c>
      <c r="D18" s="70"/>
      <c r="E18" s="70"/>
      <c r="F18" s="71"/>
      <c r="G18" s="70"/>
      <c r="I18" s="46"/>
    </row>
    <row r="19" spans="2:9" ht="14.45">
      <c r="B19" s="67" t="s">
        <v>384</v>
      </c>
      <c r="C19" s="67" t="s">
        <v>385</v>
      </c>
      <c r="D19" s="67"/>
      <c r="E19" s="67" t="s">
        <v>386</v>
      </c>
      <c r="F19" s="68">
        <v>5.2</v>
      </c>
      <c r="G19" s="67" t="s">
        <v>387</v>
      </c>
      <c r="I19" s="58"/>
    </row>
    <row r="20" spans="2:9" ht="14.45">
      <c r="B20" s="67" t="s">
        <v>388</v>
      </c>
      <c r="C20" s="67" t="s">
        <v>389</v>
      </c>
      <c r="D20" s="67"/>
      <c r="E20" s="67"/>
      <c r="F20" s="68"/>
      <c r="G20" s="67"/>
      <c r="I20" s="58"/>
    </row>
    <row r="21" spans="2:9" ht="57.95">
      <c r="B21" s="67" t="s">
        <v>390</v>
      </c>
      <c r="C21" s="67" t="s">
        <v>156</v>
      </c>
      <c r="D21" s="67" t="s">
        <v>391</v>
      </c>
      <c r="E21" s="67" t="s">
        <v>392</v>
      </c>
      <c r="F21" s="68" t="s">
        <v>393</v>
      </c>
      <c r="G21" s="67" t="s">
        <v>394</v>
      </c>
      <c r="I21" s="46"/>
    </row>
    <row r="22" spans="2:9" ht="57.95">
      <c r="B22" s="67" t="s">
        <v>395</v>
      </c>
      <c r="C22" s="67" t="s">
        <v>169</v>
      </c>
      <c r="D22" s="72" t="s">
        <v>396</v>
      </c>
      <c r="E22" s="67" t="s">
        <v>392</v>
      </c>
      <c r="F22" s="68" t="s">
        <v>393</v>
      </c>
      <c r="G22" s="67" t="s">
        <v>394</v>
      </c>
      <c r="I22" s="46"/>
    </row>
    <row r="23" spans="2:9" ht="72.599999999999994">
      <c r="B23" s="67" t="s">
        <v>397</v>
      </c>
      <c r="C23" s="67" t="s">
        <v>194</v>
      </c>
      <c r="D23" s="72" t="s">
        <v>398</v>
      </c>
      <c r="E23" s="67" t="s">
        <v>392</v>
      </c>
      <c r="F23" s="68" t="s">
        <v>393</v>
      </c>
      <c r="G23" s="67" t="s">
        <v>394</v>
      </c>
      <c r="I23" s="46"/>
    </row>
    <row r="24" spans="2:9" ht="87">
      <c r="B24" s="67" t="s">
        <v>399</v>
      </c>
      <c r="C24" s="67" t="s">
        <v>400</v>
      </c>
      <c r="D24" s="72" t="s">
        <v>401</v>
      </c>
      <c r="E24" s="67" t="s">
        <v>402</v>
      </c>
      <c r="F24" s="68" t="s">
        <v>403</v>
      </c>
      <c r="G24" s="67" t="s">
        <v>404</v>
      </c>
      <c r="I24" s="58"/>
    </row>
    <row r="25" spans="2:9" ht="29.1">
      <c r="B25" s="67" t="s">
        <v>405</v>
      </c>
      <c r="C25" s="67" t="s">
        <v>228</v>
      </c>
      <c r="D25" s="72" t="s">
        <v>406</v>
      </c>
      <c r="E25" s="67" t="s">
        <v>386</v>
      </c>
      <c r="F25" s="68">
        <v>5.2</v>
      </c>
      <c r="G25" s="67" t="s">
        <v>387</v>
      </c>
      <c r="I25" s="58"/>
    </row>
    <row r="26" spans="2:9" ht="15.6">
      <c r="B26" s="70" t="s">
        <v>407</v>
      </c>
      <c r="C26" s="70" t="s">
        <v>239</v>
      </c>
      <c r="D26" s="70"/>
      <c r="E26" s="70"/>
      <c r="F26" s="71"/>
      <c r="G26" s="70"/>
      <c r="I26" s="46"/>
    </row>
    <row r="27" spans="2:9" ht="39" customHeight="1">
      <c r="B27" s="67" t="s">
        <v>408</v>
      </c>
      <c r="C27" s="42" t="s">
        <v>241</v>
      </c>
      <c r="D27" s="67" t="s">
        <v>409</v>
      </c>
      <c r="E27" s="67" t="s">
        <v>410</v>
      </c>
      <c r="F27" s="68">
        <v>0.1</v>
      </c>
      <c r="G27" s="67" t="s">
        <v>411</v>
      </c>
      <c r="I27" s="46"/>
    </row>
    <row r="28" spans="2:9" ht="31.35" customHeight="1">
      <c r="B28" s="67" t="s">
        <v>412</v>
      </c>
      <c r="C28" s="42" t="s">
        <v>269</v>
      </c>
      <c r="D28" s="67"/>
      <c r="E28" s="67"/>
      <c r="F28" s="68"/>
      <c r="G28" s="67"/>
      <c r="I28" s="46"/>
    </row>
    <row r="29" spans="2:9" ht="57.6" customHeight="1">
      <c r="B29" s="67" t="s">
        <v>413</v>
      </c>
      <c r="C29" s="42" t="s">
        <v>273</v>
      </c>
      <c r="D29" s="67" t="s">
        <v>414</v>
      </c>
      <c r="E29" s="67"/>
      <c r="F29" s="68"/>
      <c r="G29" s="67"/>
      <c r="I29" s="46"/>
    </row>
    <row r="30" spans="2:9" ht="15.6">
      <c r="B30" s="70" t="s">
        <v>415</v>
      </c>
      <c r="C30" s="70" t="s">
        <v>278</v>
      </c>
      <c r="D30" s="70"/>
      <c r="E30" s="70" t="s">
        <v>416</v>
      </c>
      <c r="F30" s="71">
        <v>6.1</v>
      </c>
      <c r="G30" s="70" t="s">
        <v>417</v>
      </c>
      <c r="I30" s="46"/>
    </row>
    <row r="31" spans="2:9" ht="72.599999999999994">
      <c r="B31" s="67" t="s">
        <v>418</v>
      </c>
      <c r="C31" s="67" t="s">
        <v>279</v>
      </c>
      <c r="D31" s="72" t="s">
        <v>419</v>
      </c>
      <c r="E31" s="124" t="s">
        <v>420</v>
      </c>
      <c r="F31" s="125">
        <v>5.2</v>
      </c>
      <c r="G31" s="126" t="s">
        <v>387</v>
      </c>
      <c r="I31" s="58"/>
    </row>
    <row r="32" spans="2:9" ht="20.45" customHeight="1">
      <c r="B32" s="67" t="s">
        <v>421</v>
      </c>
      <c r="C32" s="67" t="s">
        <v>284</v>
      </c>
      <c r="D32" s="67" t="s">
        <v>422</v>
      </c>
      <c r="E32" s="67" t="s">
        <v>423</v>
      </c>
      <c r="F32" s="68">
        <v>5.2</v>
      </c>
      <c r="G32" s="67" t="s">
        <v>387</v>
      </c>
      <c r="I32" s="46"/>
    </row>
    <row r="33" spans="2:21" ht="20.45" customHeight="1">
      <c r="B33" s="67" t="s">
        <v>424</v>
      </c>
      <c r="C33" s="67" t="s">
        <v>291</v>
      </c>
      <c r="D33" s="67" t="s">
        <v>422</v>
      </c>
      <c r="E33" s="67" t="s">
        <v>423</v>
      </c>
      <c r="F33" s="68">
        <v>5.2</v>
      </c>
      <c r="G33" s="67" t="s">
        <v>387</v>
      </c>
      <c r="I33" s="46"/>
    </row>
    <row r="34" spans="2:21" ht="43.5">
      <c r="B34" s="67" t="s">
        <v>425</v>
      </c>
      <c r="C34" s="67" t="s">
        <v>294</v>
      </c>
      <c r="D34" s="67" t="s">
        <v>426</v>
      </c>
      <c r="E34" s="67" t="s">
        <v>427</v>
      </c>
      <c r="F34" s="68" t="s">
        <v>428</v>
      </c>
      <c r="G34" s="67" t="s">
        <v>429</v>
      </c>
      <c r="I34" s="46"/>
    </row>
    <row r="35" spans="2:21" ht="43.5">
      <c r="B35" s="67" t="s">
        <v>430</v>
      </c>
      <c r="C35" s="67" t="s">
        <v>298</v>
      </c>
      <c r="D35" s="67" t="s">
        <v>431</v>
      </c>
      <c r="E35" s="67" t="s">
        <v>427</v>
      </c>
      <c r="F35" s="68" t="s">
        <v>428</v>
      </c>
      <c r="G35" s="67" t="s">
        <v>429</v>
      </c>
      <c r="I35" s="46"/>
    </row>
    <row r="36" spans="2:21" ht="14.45">
      <c r="B36" s="67" t="s">
        <v>432</v>
      </c>
      <c r="C36" s="67" t="s">
        <v>433</v>
      </c>
      <c r="D36" s="67" t="s">
        <v>422</v>
      </c>
      <c r="E36" s="67" t="s">
        <v>423</v>
      </c>
      <c r="F36" s="68">
        <v>5.2</v>
      </c>
      <c r="G36" s="67" t="s">
        <v>387</v>
      </c>
      <c r="I36" s="46"/>
    </row>
    <row r="37" spans="2:21" ht="29.1">
      <c r="B37" s="67" t="s">
        <v>434</v>
      </c>
      <c r="C37" s="67" t="s">
        <v>305</v>
      </c>
      <c r="D37" s="67" t="s">
        <v>435</v>
      </c>
      <c r="E37" s="67" t="s">
        <v>436</v>
      </c>
      <c r="F37" s="68">
        <v>9.02</v>
      </c>
      <c r="G37" s="67" t="s">
        <v>437</v>
      </c>
      <c r="I37" s="46"/>
    </row>
    <row r="38" spans="2:21" ht="14.45">
      <c r="B38" s="67" t="s">
        <v>438</v>
      </c>
      <c r="C38" s="67" t="s">
        <v>310</v>
      </c>
      <c r="D38" s="67" t="s">
        <v>422</v>
      </c>
      <c r="E38" s="67" t="s">
        <v>423</v>
      </c>
      <c r="F38" s="68">
        <v>5.2</v>
      </c>
      <c r="G38" s="67" t="s">
        <v>387</v>
      </c>
      <c r="I38" s="46"/>
    </row>
    <row r="39" spans="2:21" ht="72.599999999999994">
      <c r="B39" s="67" t="s">
        <v>439</v>
      </c>
      <c r="C39" s="56" t="s">
        <v>313</v>
      </c>
      <c r="D39" s="72" t="s">
        <v>440</v>
      </c>
      <c r="E39" s="67" t="s">
        <v>441</v>
      </c>
      <c r="F39" s="68" t="s">
        <v>442</v>
      </c>
      <c r="G39" s="73" t="s">
        <v>443</v>
      </c>
      <c r="I39" s="58" t="s">
        <v>444</v>
      </c>
    </row>
    <row r="40" spans="2:21" ht="15.6">
      <c r="B40" s="70" t="s">
        <v>445</v>
      </c>
      <c r="C40" s="70" t="s">
        <v>318</v>
      </c>
      <c r="D40" s="70"/>
      <c r="E40" s="70" t="s">
        <v>446</v>
      </c>
      <c r="F40" s="71">
        <v>8.1</v>
      </c>
      <c r="G40" s="70" t="s">
        <v>447</v>
      </c>
      <c r="I40" s="46" t="s">
        <v>448</v>
      </c>
    </row>
    <row r="41" spans="2:21" ht="29.1">
      <c r="B41" s="67" t="s">
        <v>449</v>
      </c>
      <c r="C41" s="42" t="s">
        <v>450</v>
      </c>
      <c r="D41" s="67" t="s">
        <v>422</v>
      </c>
      <c r="E41" s="67" t="s">
        <v>423</v>
      </c>
      <c r="F41" s="68">
        <v>5.2</v>
      </c>
      <c r="G41" s="67" t="s">
        <v>451</v>
      </c>
      <c r="I41" s="46"/>
    </row>
    <row r="42" spans="2:21" ht="43.5">
      <c r="B42" s="67" t="s">
        <v>452</v>
      </c>
      <c r="C42" s="42" t="s">
        <v>319</v>
      </c>
      <c r="D42" s="67" t="s">
        <v>453</v>
      </c>
      <c r="E42" s="67" t="s">
        <v>454</v>
      </c>
      <c r="F42" s="68" t="s">
        <v>442</v>
      </c>
      <c r="G42" s="67" t="s">
        <v>455</v>
      </c>
      <c r="I42" s="46"/>
    </row>
    <row r="43" spans="2:21" ht="72.599999999999994">
      <c r="B43" s="67" t="s">
        <v>456</v>
      </c>
      <c r="C43" s="67" t="s">
        <v>324</v>
      </c>
      <c r="D43" s="72" t="s">
        <v>457</v>
      </c>
      <c r="E43" s="67" t="s">
        <v>458</v>
      </c>
      <c r="F43" s="68" t="s">
        <v>459</v>
      </c>
      <c r="G43" s="69" t="s">
        <v>460</v>
      </c>
      <c r="I43" s="46" t="s">
        <v>461</v>
      </c>
    </row>
    <row r="44" spans="2:21" ht="50.1">
      <c r="B44" s="67" t="s">
        <v>456</v>
      </c>
      <c r="C44" s="67" t="s">
        <v>328</v>
      </c>
      <c r="D44" s="67" t="s">
        <v>422</v>
      </c>
      <c r="E44" s="67" t="s">
        <v>423</v>
      </c>
      <c r="F44" s="68">
        <v>5.2</v>
      </c>
      <c r="G44" s="67" t="s">
        <v>451</v>
      </c>
      <c r="I44" s="46" t="s">
        <v>461</v>
      </c>
    </row>
    <row r="47" spans="2:21" s="5" customFormat="1">
      <c r="C47" s="7"/>
      <c r="D47" s="88"/>
      <c r="K47" s="9"/>
      <c r="L47" s="7"/>
      <c r="M47" s="7"/>
      <c r="S47" s="11"/>
      <c r="T47" s="11"/>
      <c r="U47" s="11"/>
    </row>
    <row r="48" spans="2:21" s="5" customFormat="1" ht="13.5">
      <c r="B48" s="12"/>
      <c r="C48" s="10"/>
      <c r="D48" s="122"/>
      <c r="E48" s="121" t="s">
        <v>51</v>
      </c>
      <c r="J48" s="12"/>
      <c r="K48" s="12"/>
      <c r="L48" s="12"/>
      <c r="M48" s="12"/>
      <c r="S48" s="11"/>
      <c r="T48" s="11"/>
      <c r="U48" s="11"/>
    </row>
    <row r="49" spans="2:17" s="5" customFormat="1">
      <c r="B49" s="123"/>
      <c r="C49" s="12"/>
      <c r="D49" s="12"/>
      <c r="E49" s="116" t="s">
        <v>52</v>
      </c>
      <c r="F49" s="12"/>
      <c r="G49" s="12"/>
      <c r="J49" s="13"/>
      <c r="K49" s="14"/>
      <c r="L49" s="14"/>
      <c r="M49" s="14"/>
      <c r="N49" s="13"/>
      <c r="O49" s="13"/>
      <c r="P49" s="13"/>
      <c r="Q49" s="4"/>
    </row>
    <row r="50" spans="2:17">
      <c r="C50" s="4"/>
      <c r="D50" s="13"/>
      <c r="E50" s="22" t="s">
        <v>53</v>
      </c>
      <c r="G50" s="14" t="s">
        <v>54</v>
      </c>
      <c r="I50" s="74"/>
      <c r="J50" s="75"/>
      <c r="L50" s="75"/>
      <c r="N50" s="74"/>
      <c r="O50" s="74"/>
      <c r="P50" s="74"/>
      <c r="Q50" s="76"/>
    </row>
  </sheetData>
  <mergeCells count="2">
    <mergeCell ref="B1:G1"/>
    <mergeCell ref="B2:G2"/>
  </mergeCells>
  <printOptions horizontalCentered="1"/>
  <pageMargins left="0.19685039370078741" right="0.19685039370078741" top="0.39370078740157483" bottom="0.39370078740157483" header="0.19685039370078741" footer="0.19685039370078741"/>
  <pageSetup paperSize="9" scale="34" orientation="portrait" r:id="rId1"/>
  <headerFooter alignWithMargins="0">
    <oddHeader>&amp;L&amp;"Arial Black"&amp;10&amp;K76923C  &amp;1#_x000D_</oddHeader>
    <oddFooter>&amp;C_x000D_&amp;1#&amp;"Arial Black"&amp;10&amp;K76923C {Hitachi Rail – Internal}</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B1:AM50"/>
  <sheetViews>
    <sheetView showGridLines="0" zoomScaleNormal="100" zoomScaleSheetLayoutView="100" workbookViewId="0">
      <selection activeCell="G50" sqref="G50"/>
    </sheetView>
  </sheetViews>
  <sheetFormatPr defaultColWidth="11.42578125" defaultRowHeight="12.6"/>
  <cols>
    <col min="1" max="1" width="5.5703125" style="57" customWidth="1"/>
    <col min="2" max="13" width="12.5703125" style="57" customWidth="1"/>
    <col min="14" max="18" width="11.42578125" style="57"/>
    <col min="19" max="19" width="7.42578125" style="57" customWidth="1"/>
    <col min="20" max="20" width="6.42578125" style="57" customWidth="1"/>
    <col min="21" max="16384" width="11.42578125" style="57"/>
  </cols>
  <sheetData>
    <row r="1" spans="2:39" ht="18">
      <c r="B1" s="151" t="s">
        <v>462</v>
      </c>
      <c r="C1" s="151"/>
      <c r="D1" s="151"/>
      <c r="E1" s="151"/>
      <c r="F1" s="151"/>
      <c r="G1" s="151"/>
      <c r="H1" s="151"/>
      <c r="I1" s="151"/>
      <c r="J1" s="151"/>
      <c r="K1" s="151"/>
      <c r="L1" s="151"/>
      <c r="M1" s="151"/>
      <c r="N1" s="151"/>
      <c r="O1" s="151"/>
      <c r="P1" s="151"/>
      <c r="Q1" s="151"/>
      <c r="R1" s="151"/>
      <c r="S1" s="151"/>
      <c r="T1" s="60"/>
      <c r="U1" s="60"/>
      <c r="V1" s="60"/>
      <c r="W1" s="60"/>
      <c r="X1" s="60"/>
      <c r="Y1" s="60"/>
      <c r="Z1" s="60"/>
      <c r="AA1" s="60"/>
      <c r="AB1" s="60"/>
      <c r="AC1" s="60"/>
      <c r="AD1" s="60"/>
      <c r="AE1" s="60"/>
      <c r="AF1" s="60"/>
      <c r="AG1" s="60"/>
      <c r="AH1" s="60"/>
      <c r="AI1" s="60"/>
      <c r="AJ1" s="60"/>
      <c r="AK1" s="60"/>
      <c r="AL1" s="60"/>
      <c r="AM1" s="60"/>
    </row>
    <row r="2" spans="2:39">
      <c r="B2" s="152" t="str">
        <f>'Template change log &amp; approval'!$B$7&amp;" - "&amp;'Template change log &amp; approval'!$G$7</f>
        <v xml:space="preserve"> - </v>
      </c>
      <c r="C2" s="152"/>
      <c r="D2" s="152"/>
      <c r="E2" s="152"/>
      <c r="F2" s="152"/>
      <c r="G2" s="152"/>
      <c r="H2" s="152"/>
      <c r="I2" s="152"/>
      <c r="J2" s="152"/>
      <c r="K2" s="152"/>
      <c r="L2" s="152"/>
      <c r="M2" s="152"/>
      <c r="N2" s="152"/>
      <c r="O2" s="152"/>
      <c r="P2" s="152"/>
      <c r="Q2" s="152"/>
      <c r="R2" s="152"/>
      <c r="S2" s="152"/>
    </row>
    <row r="48" spans="3:21" s="5" customFormat="1" ht="13.5">
      <c r="C48" s="7"/>
      <c r="D48" s="7"/>
      <c r="E48" s="7"/>
      <c r="F48" s="8"/>
      <c r="G48" s="117" t="s">
        <v>51</v>
      </c>
      <c r="H48" s="21"/>
      <c r="K48" s="9"/>
      <c r="L48" s="7"/>
      <c r="M48" s="7"/>
      <c r="S48" s="11"/>
      <c r="T48" s="11"/>
      <c r="U48" s="11"/>
    </row>
    <row r="49" spans="2:21" s="5" customFormat="1">
      <c r="B49" s="12"/>
      <c r="C49" s="12"/>
      <c r="D49" s="12"/>
      <c r="E49" s="12"/>
      <c r="F49" s="12"/>
      <c r="G49" s="116" t="s">
        <v>52</v>
      </c>
      <c r="H49" s="12"/>
      <c r="I49" s="12"/>
      <c r="J49" s="12"/>
      <c r="K49" s="12"/>
      <c r="L49" s="12"/>
      <c r="M49" s="12"/>
      <c r="S49" s="11"/>
      <c r="T49" s="11"/>
      <c r="U49" s="11"/>
    </row>
    <row r="50" spans="2:21" s="5" customFormat="1">
      <c r="B50" s="123"/>
      <c r="C50" s="123"/>
      <c r="D50" s="123"/>
      <c r="E50" s="4"/>
      <c r="F50" s="13"/>
      <c r="G50" s="22" t="s">
        <v>53</v>
      </c>
      <c r="H50" s="13"/>
      <c r="I50" s="13"/>
      <c r="K50" s="14" t="s">
        <v>54</v>
      </c>
      <c r="L50" s="14"/>
      <c r="M50" s="14"/>
      <c r="N50" s="13"/>
      <c r="O50" s="13"/>
      <c r="P50" s="13"/>
      <c r="Q50" s="4"/>
    </row>
  </sheetData>
  <mergeCells count="2">
    <mergeCell ref="B1:S1"/>
    <mergeCell ref="B2:S2"/>
  </mergeCells>
  <printOptions horizontalCentered="1"/>
  <pageMargins left="0.19685039370078741" right="0.19685039370078741" top="0.39370078740157483" bottom="0.39370078740157483" header="0.19685039370078741" footer="0.19685039370078741"/>
  <pageSetup paperSize="9" scale="64" orientation="landscape" r:id="rId1"/>
  <headerFooter alignWithMargins="0">
    <oddHeader>&amp;L&amp;"Arial Black"&amp;10&amp;K76923C  &amp;1#_x000D_</oddHeader>
    <oddFooter>&amp;C_x000D_&amp;1#&amp;"Arial Black"&amp;10&amp;K76923C {Hitachi Rail – Internal}</oddFooter>
  </headerFooter>
  <drawing r:id="rId2"/>
  <legacyDrawing r:id="rId3"/>
  <oleObjects>
    <mc:AlternateContent xmlns:mc="http://schemas.openxmlformats.org/markup-compatibility/2006">
      <mc:Choice Requires="x14">
        <oleObject progId="Visio" shapeId="5126" r:id="rId4">
          <objectPr defaultSize="0" autoPict="0" r:id="rId5">
            <anchor moveWithCells="1">
              <from>
                <xdr:col>0</xdr:col>
                <xdr:colOff>76200</xdr:colOff>
                <xdr:row>3</xdr:row>
                <xdr:rowOff>25400</xdr:rowOff>
              </from>
              <to>
                <xdr:col>14</xdr:col>
                <xdr:colOff>444500</xdr:colOff>
                <xdr:row>46</xdr:row>
                <xdr:rowOff>76200</xdr:rowOff>
              </to>
            </anchor>
          </objectPr>
        </oleObject>
      </mc:Choice>
      <mc:Fallback>
        <oleObject progId="Visio" shapeId="5126" r:id="rId4"/>
      </mc:Fallback>
    </mc:AlternateContent>
  </oleObjec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B1:AO74"/>
  <sheetViews>
    <sheetView showGridLines="0" topLeftCell="R36" zoomScaleNormal="100" zoomScaleSheetLayoutView="100" workbookViewId="0">
      <selection activeCell="J76" sqref="J76"/>
    </sheetView>
  </sheetViews>
  <sheetFormatPr defaultColWidth="11.42578125" defaultRowHeight="12.6"/>
  <cols>
    <col min="1" max="1" width="5.5703125" style="57" customWidth="1"/>
    <col min="2" max="13" width="12.5703125" style="57" customWidth="1"/>
    <col min="14" max="18" width="11.42578125" style="57"/>
    <col min="19" max="19" width="7.42578125" style="57" customWidth="1"/>
    <col min="20" max="20" width="6.42578125" style="57" customWidth="1"/>
    <col min="21" max="33" width="11.42578125" style="57"/>
    <col min="34" max="34" width="1.5703125" style="57" customWidth="1"/>
    <col min="35" max="40" width="11.42578125" style="57"/>
    <col min="41" max="41" width="5" style="57" customWidth="1"/>
    <col min="42" max="42" width="11" style="57" customWidth="1"/>
    <col min="43" max="16384" width="11.42578125" style="57"/>
  </cols>
  <sheetData>
    <row r="1" spans="2:41" ht="18">
      <c r="B1" s="151" t="s">
        <v>463</v>
      </c>
      <c r="C1" s="151"/>
      <c r="D1" s="151"/>
      <c r="E1" s="151"/>
      <c r="F1" s="151"/>
      <c r="G1" s="151"/>
      <c r="H1" s="151"/>
      <c r="I1" s="151"/>
      <c r="J1" s="151"/>
      <c r="K1" s="151"/>
      <c r="L1" s="151"/>
      <c r="M1" s="151"/>
      <c r="N1" s="151"/>
      <c r="O1" s="151"/>
      <c r="P1" s="151"/>
      <c r="Q1" s="151"/>
      <c r="R1" s="151"/>
      <c r="S1" s="151"/>
      <c r="T1" s="151"/>
      <c r="U1" s="151"/>
      <c r="V1" s="151"/>
      <c r="W1" s="151"/>
      <c r="X1" s="151"/>
      <c r="Y1" s="151"/>
      <c r="Z1" s="151"/>
      <c r="AA1" s="151"/>
      <c r="AB1" s="151"/>
      <c r="AC1" s="151"/>
      <c r="AD1" s="151"/>
      <c r="AE1" s="151"/>
      <c r="AF1" s="151"/>
      <c r="AG1" s="151"/>
      <c r="AH1" s="151"/>
      <c r="AI1" s="60"/>
      <c r="AJ1" s="60"/>
      <c r="AK1" s="60"/>
      <c r="AL1" s="60"/>
      <c r="AM1" s="60"/>
      <c r="AN1" s="60"/>
      <c r="AO1" s="60"/>
    </row>
    <row r="2" spans="2:41">
      <c r="B2" s="152" t="str">
        <f>'Template change log &amp; approval'!$B$7&amp;" - "&amp;'Template change log &amp; approval'!$G$7</f>
        <v xml:space="preserve"> - </v>
      </c>
      <c r="C2" s="152"/>
      <c r="D2" s="152"/>
      <c r="E2" s="152"/>
      <c r="F2" s="152"/>
      <c r="G2" s="152"/>
      <c r="H2" s="152"/>
      <c r="I2" s="152"/>
      <c r="J2" s="152"/>
      <c r="K2" s="152"/>
      <c r="L2" s="152"/>
      <c r="M2" s="152"/>
      <c r="N2" s="152"/>
      <c r="O2" s="152"/>
      <c r="P2" s="152"/>
      <c r="Q2" s="152"/>
      <c r="R2" s="152"/>
      <c r="S2" s="152"/>
      <c r="T2" s="152"/>
      <c r="U2" s="152"/>
      <c r="V2" s="152"/>
      <c r="W2" s="152"/>
      <c r="X2" s="152"/>
      <c r="Y2" s="152"/>
      <c r="Z2" s="152"/>
      <c r="AA2" s="152"/>
      <c r="AB2" s="152"/>
      <c r="AC2" s="152"/>
      <c r="AD2" s="152"/>
      <c r="AE2" s="152"/>
      <c r="AF2" s="152"/>
      <c r="AG2" s="152"/>
      <c r="AH2" s="152"/>
    </row>
    <row r="71" spans="2:21" s="5" customFormat="1">
      <c r="M71" s="7"/>
      <c r="S71" s="11"/>
      <c r="T71" s="11"/>
      <c r="U71" s="11"/>
    </row>
    <row r="72" spans="2:21" s="5" customFormat="1" ht="13.5">
      <c r="B72" s="12"/>
      <c r="E72" s="7"/>
      <c r="F72" s="7"/>
      <c r="G72" s="7"/>
      <c r="H72" s="8"/>
      <c r="I72" s="118" t="s">
        <v>51</v>
      </c>
      <c r="J72" s="21"/>
      <c r="M72" s="9"/>
      <c r="N72" s="7"/>
      <c r="S72" s="11"/>
      <c r="T72" s="11"/>
      <c r="U72" s="11"/>
    </row>
    <row r="73" spans="2:21" s="5" customFormat="1">
      <c r="B73" s="123"/>
      <c r="E73" s="12"/>
      <c r="F73" s="12"/>
      <c r="G73" s="12"/>
      <c r="H73" s="12"/>
      <c r="I73" s="116" t="s">
        <v>52</v>
      </c>
      <c r="J73" s="12"/>
      <c r="K73" s="12"/>
      <c r="L73" s="12"/>
      <c r="M73" s="12"/>
      <c r="N73" s="12"/>
      <c r="O73" s="13"/>
      <c r="P73" s="13"/>
      <c r="Q73" s="4"/>
    </row>
    <row r="74" spans="2:21">
      <c r="E74" s="123"/>
      <c r="F74" s="123"/>
      <c r="G74" s="4"/>
      <c r="H74" s="13"/>
      <c r="I74" s="22" t="s">
        <v>53</v>
      </c>
      <c r="J74" s="13"/>
      <c r="K74" s="13"/>
      <c r="L74" s="13"/>
      <c r="M74" s="14" t="s">
        <v>54</v>
      </c>
      <c r="N74" s="14"/>
    </row>
  </sheetData>
  <mergeCells count="2">
    <mergeCell ref="B1:AH1"/>
    <mergeCell ref="B2:AH2"/>
  </mergeCells>
  <printOptions horizontalCentered="1"/>
  <pageMargins left="0.19685039370078741" right="0.19685039370078741" top="0.39370078740157483" bottom="0.39370078740157483" header="0.19685039370078741" footer="0.19685039370078741"/>
  <pageSetup paperSize="9" scale="30" orientation="landscape" r:id="rId1"/>
  <headerFooter alignWithMargins="0">
    <oddHeader>&amp;L&amp;"Arial Black"&amp;10&amp;K76923C  &amp;1#_x000D_</oddHeader>
    <oddFooter>&amp;C_x000D_&amp;1#&amp;"Arial Black"&amp;10&amp;K76923C {Hitachi Rail – Internal}</oddFooter>
  </headerFooter>
  <drawing r:id="rId2"/>
  <legacyDrawing r:id="rId3"/>
  <oleObjects>
    <mc:AlternateContent xmlns:mc="http://schemas.openxmlformats.org/markup-compatibility/2006">
      <mc:Choice Requires="x14">
        <oleObject progId="Visio" shapeId="6149" r:id="rId4">
          <objectPr defaultSize="0" autoPict="0" r:id="rId5">
            <anchor moveWithCells="1">
              <from>
                <xdr:col>0</xdr:col>
                <xdr:colOff>63500</xdr:colOff>
                <xdr:row>3</xdr:row>
                <xdr:rowOff>12700</xdr:rowOff>
              </from>
              <to>
                <xdr:col>34</xdr:col>
                <xdr:colOff>577850</xdr:colOff>
                <xdr:row>69</xdr:row>
                <xdr:rowOff>69850</xdr:rowOff>
              </to>
            </anchor>
          </objectPr>
        </oleObject>
      </mc:Choice>
      <mc:Fallback>
        <oleObject progId="Visio" shapeId="6149" r:id="rId4"/>
      </mc:Fallback>
    </mc:AlternateContent>
  </oleObjec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B1:AO123"/>
  <sheetViews>
    <sheetView showGridLines="0" zoomScaleNormal="100" zoomScaleSheetLayoutView="100" workbookViewId="0">
      <pane xSplit="2" ySplit="4" topLeftCell="C10" activePane="bottomRight" state="frozen"/>
      <selection pane="bottomRight" activeCell="M123" sqref="M123"/>
      <selection pane="bottomLeft" activeCell="A3" sqref="A3"/>
      <selection pane="topRight" activeCell="A3" sqref="A3"/>
    </sheetView>
  </sheetViews>
  <sheetFormatPr defaultColWidth="11.42578125" defaultRowHeight="12.6" outlineLevelCol="1"/>
  <cols>
    <col min="1" max="1" width="5.5703125" style="57" customWidth="1"/>
    <col min="2" max="2" width="36" style="57" customWidth="1"/>
    <col min="3" max="3" width="3" style="57" customWidth="1"/>
    <col min="4" max="4" width="18.5703125" style="57" customWidth="1"/>
    <col min="5" max="8" width="15.140625" style="57" customWidth="1" outlineLevel="1"/>
    <col min="9" max="9" width="13.85546875" style="57" customWidth="1" outlineLevel="1"/>
    <col min="10" max="10" width="15.140625" style="57" customWidth="1" outlineLevel="1"/>
    <col min="11" max="11" width="18.5703125" style="57" customWidth="1"/>
    <col min="12" max="15" width="14.85546875" style="57" customWidth="1" outlineLevel="1"/>
    <col min="16" max="16" width="18.5703125" style="57" customWidth="1"/>
    <col min="17" max="23" width="14.85546875" style="57" customWidth="1" outlineLevel="1"/>
    <col min="24" max="24" width="18.5703125" style="57" customWidth="1"/>
    <col min="25" max="27" width="15.85546875" style="57" customWidth="1" outlineLevel="1"/>
    <col min="28" max="28" width="18.5703125" style="57" customWidth="1"/>
    <col min="29" max="31" width="12.5703125" style="57" customWidth="1" outlineLevel="1"/>
    <col min="32" max="32" width="13.5703125" style="57" customWidth="1" outlineLevel="1"/>
    <col min="33" max="36" width="12.5703125" style="57" customWidth="1" outlineLevel="1"/>
    <col min="37" max="37" width="12.85546875" style="57" customWidth="1" outlineLevel="1"/>
    <col min="38" max="38" width="18.5703125" style="57" customWidth="1"/>
    <col min="39" max="41" width="14.140625" style="57" customWidth="1" outlineLevel="1"/>
    <col min="42" max="42" width="8.140625" style="57" customWidth="1"/>
    <col min="43" max="16384" width="11.42578125" style="57"/>
  </cols>
  <sheetData>
    <row r="1" spans="2:41" ht="18">
      <c r="B1" s="77" t="s">
        <v>464</v>
      </c>
      <c r="C1" s="77"/>
      <c r="D1" s="77"/>
      <c r="E1" s="77"/>
      <c r="F1" s="77"/>
      <c r="G1" s="77"/>
      <c r="H1" s="77"/>
      <c r="I1" s="77"/>
      <c r="J1" s="77"/>
      <c r="K1" s="77"/>
      <c r="L1" s="77"/>
      <c r="M1" s="77"/>
      <c r="N1" s="77"/>
      <c r="O1" s="77"/>
      <c r="P1" s="77"/>
      <c r="Q1" s="77"/>
      <c r="R1" s="77"/>
      <c r="S1" s="77"/>
      <c r="T1" s="77"/>
      <c r="U1" s="77"/>
      <c r="V1" s="77"/>
      <c r="W1" s="77"/>
      <c r="X1" s="77"/>
      <c r="Y1" s="77"/>
      <c r="Z1" s="77"/>
      <c r="AA1" s="77"/>
      <c r="AB1" s="77"/>
      <c r="AC1" s="77"/>
      <c r="AD1" s="77"/>
      <c r="AE1" s="77"/>
      <c r="AF1" s="77"/>
      <c r="AG1" s="77"/>
      <c r="AH1" s="77"/>
      <c r="AI1" s="77"/>
      <c r="AJ1" s="77"/>
      <c r="AK1" s="77"/>
      <c r="AL1" s="77"/>
      <c r="AM1" s="77"/>
      <c r="AN1" s="77"/>
      <c r="AO1" s="77"/>
    </row>
    <row r="2" spans="2:41">
      <c r="B2" s="78" t="str">
        <f>'Template change log &amp; approval'!$B$7&amp;" - "&amp;'Template change log &amp; approval'!$G$7</f>
        <v xml:space="preserve"> - </v>
      </c>
      <c r="C2" s="78"/>
      <c r="D2" s="78"/>
      <c r="E2" s="78"/>
      <c r="F2" s="78"/>
      <c r="G2" s="78"/>
      <c r="H2" s="78"/>
      <c r="I2" s="78"/>
      <c r="J2" s="78"/>
      <c r="K2" s="78"/>
      <c r="L2" s="78"/>
      <c r="M2" s="78"/>
      <c r="N2" s="78"/>
      <c r="O2" s="78"/>
      <c r="P2" s="78"/>
      <c r="Q2" s="78"/>
      <c r="R2" s="78"/>
      <c r="S2" s="78"/>
      <c r="T2" s="78"/>
      <c r="U2" s="78"/>
      <c r="V2" s="78"/>
      <c r="W2" s="78"/>
      <c r="X2" s="78"/>
      <c r="Y2" s="78"/>
      <c r="Z2" s="78"/>
      <c r="AA2" s="78"/>
      <c r="AB2" s="78"/>
      <c r="AC2" s="78"/>
      <c r="AD2" s="78"/>
      <c r="AE2" s="78"/>
      <c r="AF2" s="78"/>
      <c r="AG2" s="78"/>
      <c r="AH2" s="78"/>
      <c r="AI2" s="78"/>
      <c r="AJ2" s="78"/>
      <c r="AK2" s="78"/>
      <c r="AL2" s="78"/>
      <c r="AM2" s="78"/>
      <c r="AN2" s="78"/>
      <c r="AO2" s="78"/>
    </row>
    <row r="3" spans="2:41" ht="5.25" customHeight="1"/>
    <row r="4" spans="2:41" ht="122.25" customHeight="1">
      <c r="B4" s="79"/>
      <c r="C4" s="79"/>
      <c r="D4" s="80" t="s">
        <v>72</v>
      </c>
      <c r="E4" s="81" t="s">
        <v>72</v>
      </c>
      <c r="F4" s="81" t="s">
        <v>343</v>
      </c>
      <c r="G4" s="81" t="s">
        <v>85</v>
      </c>
      <c r="H4" s="81" t="s">
        <v>90</v>
      </c>
      <c r="I4" s="81" t="s">
        <v>95</v>
      </c>
      <c r="J4" s="81" t="s">
        <v>465</v>
      </c>
      <c r="K4" s="80" t="s">
        <v>104</v>
      </c>
      <c r="L4" s="81" t="s">
        <v>105</v>
      </c>
      <c r="M4" s="81" t="s">
        <v>111</v>
      </c>
      <c r="N4" s="81" t="s">
        <v>373</v>
      </c>
      <c r="O4" s="81" t="s">
        <v>124</v>
      </c>
      <c r="P4" s="80" t="s">
        <v>132</v>
      </c>
      <c r="Q4" s="81" t="s">
        <v>466</v>
      </c>
      <c r="R4" s="81" t="s">
        <v>467</v>
      </c>
      <c r="S4" s="81" t="s">
        <v>156</v>
      </c>
      <c r="T4" s="81" t="s">
        <v>169</v>
      </c>
      <c r="U4" s="81" t="s">
        <v>194</v>
      </c>
      <c r="V4" s="81" t="s">
        <v>400</v>
      </c>
      <c r="W4" s="81" t="s">
        <v>228</v>
      </c>
      <c r="X4" s="80" t="s">
        <v>239</v>
      </c>
      <c r="Y4" s="81" t="s">
        <v>241</v>
      </c>
      <c r="Z4" s="81" t="s">
        <v>269</v>
      </c>
      <c r="AA4" s="81" t="s">
        <v>273</v>
      </c>
      <c r="AB4" s="80" t="s">
        <v>278</v>
      </c>
      <c r="AC4" s="81" t="s">
        <v>279</v>
      </c>
      <c r="AD4" s="81" t="s">
        <v>468</v>
      </c>
      <c r="AE4" s="81" t="s">
        <v>291</v>
      </c>
      <c r="AF4" s="81" t="s">
        <v>294</v>
      </c>
      <c r="AG4" s="81" t="s">
        <v>469</v>
      </c>
      <c r="AH4" s="81" t="s">
        <v>303</v>
      </c>
      <c r="AI4" s="81" t="s">
        <v>305</v>
      </c>
      <c r="AJ4" s="81" t="s">
        <v>310</v>
      </c>
      <c r="AK4" s="81" t="s">
        <v>313</v>
      </c>
      <c r="AL4" s="80" t="s">
        <v>318</v>
      </c>
      <c r="AM4" s="81" t="s">
        <v>319</v>
      </c>
      <c r="AN4" s="81" t="s">
        <v>324</v>
      </c>
      <c r="AO4" s="81" t="s">
        <v>328</v>
      </c>
    </row>
    <row r="5" spans="2:41">
      <c r="B5" s="98"/>
      <c r="C5" s="79"/>
      <c r="D5" s="99"/>
      <c r="E5" s="99"/>
      <c r="F5" s="99"/>
      <c r="G5" s="99"/>
      <c r="H5" s="99"/>
      <c r="I5" s="99"/>
      <c r="J5" s="82"/>
      <c r="K5" s="99"/>
      <c r="L5" s="99"/>
      <c r="M5" s="99"/>
      <c r="N5" s="99"/>
      <c r="O5" s="99"/>
      <c r="P5" s="99"/>
      <c r="Q5" s="99"/>
      <c r="R5" s="99"/>
      <c r="S5" s="99"/>
      <c r="T5" s="99"/>
      <c r="U5" s="82"/>
      <c r="V5" s="82"/>
      <c r="W5" s="99"/>
      <c r="X5" s="99"/>
      <c r="Y5" s="99"/>
      <c r="Z5" s="99"/>
      <c r="AA5" s="99"/>
      <c r="AB5" s="99"/>
      <c r="AC5" s="99"/>
      <c r="AD5" s="99"/>
      <c r="AE5" s="99"/>
      <c r="AF5" s="99"/>
      <c r="AG5" s="99"/>
      <c r="AH5" s="99"/>
      <c r="AI5" s="99"/>
      <c r="AJ5" s="99"/>
      <c r="AK5" s="99"/>
      <c r="AL5" s="99"/>
      <c r="AM5" s="82"/>
      <c r="AN5" s="82"/>
      <c r="AO5" s="82"/>
    </row>
    <row r="6" spans="2:41" ht="12.95">
      <c r="B6" s="100" t="s">
        <v>470</v>
      </c>
      <c r="C6" s="101"/>
      <c r="D6" s="83"/>
      <c r="E6" s="102" t="s">
        <v>471</v>
      </c>
      <c r="F6" s="102" t="s">
        <v>472</v>
      </c>
      <c r="G6" s="102" t="s">
        <v>472</v>
      </c>
      <c r="H6" s="102" t="s">
        <v>472</v>
      </c>
      <c r="I6" s="102" t="s">
        <v>472</v>
      </c>
      <c r="J6" s="102" t="s">
        <v>472</v>
      </c>
      <c r="K6" s="83"/>
      <c r="L6" s="102" t="s">
        <v>473</v>
      </c>
      <c r="M6" s="102" t="s">
        <v>473</v>
      </c>
      <c r="N6" s="102" t="s">
        <v>473</v>
      </c>
      <c r="O6" s="102" t="s">
        <v>473</v>
      </c>
      <c r="P6" s="83"/>
      <c r="Q6" s="102" t="s">
        <v>473</v>
      </c>
      <c r="R6" s="102" t="s">
        <v>473</v>
      </c>
      <c r="S6" s="102" t="s">
        <v>473</v>
      </c>
      <c r="T6" s="102" t="s">
        <v>473</v>
      </c>
      <c r="U6" s="102" t="s">
        <v>473</v>
      </c>
      <c r="V6" s="102" t="s">
        <v>473</v>
      </c>
      <c r="W6" s="102" t="s">
        <v>473</v>
      </c>
      <c r="X6" s="83"/>
      <c r="Y6" s="102" t="s">
        <v>474</v>
      </c>
      <c r="Z6" s="102" t="s">
        <v>474</v>
      </c>
      <c r="AA6" s="102" t="s">
        <v>474</v>
      </c>
      <c r="AB6" s="83"/>
      <c r="AC6" s="102" t="s">
        <v>473</v>
      </c>
      <c r="AD6" s="102" t="s">
        <v>473</v>
      </c>
      <c r="AE6" s="102" t="s">
        <v>473</v>
      </c>
      <c r="AF6" s="102" t="s">
        <v>473</v>
      </c>
      <c r="AG6" s="102" t="s">
        <v>473</v>
      </c>
      <c r="AH6" s="102" t="s">
        <v>473</v>
      </c>
      <c r="AI6" s="102" t="s">
        <v>473</v>
      </c>
      <c r="AJ6" s="102" t="s">
        <v>473</v>
      </c>
      <c r="AK6" s="102" t="s">
        <v>473</v>
      </c>
      <c r="AL6" s="83"/>
      <c r="AM6" s="102" t="s">
        <v>473</v>
      </c>
      <c r="AN6" s="102" t="s">
        <v>473</v>
      </c>
      <c r="AO6" s="102" t="s">
        <v>473</v>
      </c>
    </row>
    <row r="7" spans="2:41" ht="12.95">
      <c r="B7" s="103"/>
      <c r="C7" s="79"/>
      <c r="D7" s="104"/>
      <c r="E7" s="105"/>
      <c r="F7" s="105"/>
      <c r="G7" s="105"/>
      <c r="H7" s="105"/>
      <c r="I7" s="105"/>
      <c r="J7" s="105"/>
      <c r="K7" s="104"/>
      <c r="L7" s="105"/>
      <c r="M7" s="105"/>
      <c r="N7" s="105"/>
      <c r="O7" s="104"/>
      <c r="P7" s="104"/>
      <c r="Q7" s="105"/>
      <c r="R7" s="105"/>
      <c r="S7" s="105"/>
      <c r="T7" s="105"/>
      <c r="U7" s="105"/>
      <c r="V7" s="105"/>
      <c r="W7" s="104"/>
      <c r="X7" s="104"/>
      <c r="Y7" s="105"/>
      <c r="Z7" s="105"/>
      <c r="AA7" s="105"/>
      <c r="AB7" s="104"/>
      <c r="AC7" s="105"/>
      <c r="AD7" s="105"/>
      <c r="AE7" s="105"/>
      <c r="AF7" s="105"/>
      <c r="AG7" s="105"/>
      <c r="AH7" s="105"/>
      <c r="AI7" s="105"/>
      <c r="AJ7" s="105"/>
      <c r="AK7" s="105"/>
      <c r="AL7" s="104"/>
      <c r="AM7" s="105"/>
      <c r="AN7" s="105"/>
      <c r="AO7" s="105"/>
    </row>
    <row r="8" spans="2:41" ht="12.95">
      <c r="B8" s="100" t="s">
        <v>475</v>
      </c>
      <c r="C8" s="101"/>
      <c r="D8" s="83"/>
      <c r="E8" s="102" t="s">
        <v>476</v>
      </c>
      <c r="F8" s="102" t="s">
        <v>477</v>
      </c>
      <c r="G8" s="102"/>
      <c r="H8" s="102"/>
      <c r="I8" s="102"/>
      <c r="J8" s="102" t="s">
        <v>477</v>
      </c>
      <c r="K8" s="83"/>
      <c r="L8" s="102"/>
      <c r="M8" s="102"/>
      <c r="N8" s="102"/>
      <c r="O8" s="102"/>
      <c r="P8" s="83"/>
      <c r="Q8" s="102"/>
      <c r="R8" s="102"/>
      <c r="S8" s="102"/>
      <c r="T8" s="102"/>
      <c r="U8" s="102"/>
      <c r="V8" s="102"/>
      <c r="W8" s="102"/>
      <c r="X8" s="83"/>
      <c r="Y8" s="102"/>
      <c r="Z8" s="102"/>
      <c r="AA8" s="102"/>
      <c r="AB8" s="83"/>
      <c r="AC8" s="102"/>
      <c r="AD8" s="102"/>
      <c r="AE8" s="102"/>
      <c r="AF8" s="102"/>
      <c r="AG8" s="102"/>
      <c r="AH8" s="102"/>
      <c r="AI8" s="102"/>
      <c r="AJ8" s="102"/>
      <c r="AK8" s="102"/>
      <c r="AL8" s="83"/>
      <c r="AM8" s="102"/>
      <c r="AN8" s="102"/>
      <c r="AO8" s="102"/>
    </row>
    <row r="9" spans="2:41" ht="12.95">
      <c r="B9" s="103"/>
      <c r="C9" s="79"/>
      <c r="D9" s="105"/>
      <c r="E9" s="105"/>
      <c r="F9" s="105"/>
      <c r="G9" s="105"/>
      <c r="H9" s="105"/>
      <c r="I9" s="105"/>
      <c r="J9" s="105"/>
      <c r="K9" s="105"/>
      <c r="L9" s="105"/>
      <c r="M9" s="105"/>
      <c r="N9" s="105"/>
      <c r="O9" s="105"/>
      <c r="P9" s="105"/>
      <c r="Q9" s="105"/>
      <c r="R9" s="105"/>
      <c r="S9" s="105"/>
      <c r="T9" s="105"/>
      <c r="U9" s="105"/>
      <c r="V9" s="105"/>
      <c r="W9" s="105"/>
      <c r="X9" s="105"/>
      <c r="Y9" s="105"/>
      <c r="Z9" s="105"/>
      <c r="AA9" s="105"/>
      <c r="AB9" s="105"/>
      <c r="AC9" s="105"/>
      <c r="AD9" s="105"/>
      <c r="AE9" s="105"/>
      <c r="AF9" s="105"/>
      <c r="AG9" s="105"/>
      <c r="AH9" s="105"/>
      <c r="AI9" s="105"/>
      <c r="AJ9" s="105"/>
      <c r="AK9" s="105"/>
      <c r="AL9" s="105"/>
      <c r="AM9" s="105"/>
      <c r="AN9" s="105"/>
      <c r="AO9" s="105"/>
    </row>
    <row r="10" spans="2:41" ht="12.95">
      <c r="B10" s="100" t="s">
        <v>478</v>
      </c>
      <c r="C10" s="101"/>
      <c r="D10" s="83"/>
      <c r="E10" s="102" t="s">
        <v>476</v>
      </c>
      <c r="F10" s="102"/>
      <c r="G10" s="102"/>
      <c r="H10" s="102"/>
      <c r="I10" s="102"/>
      <c r="J10" s="102" t="s">
        <v>477</v>
      </c>
      <c r="K10" s="83"/>
      <c r="L10" s="102"/>
      <c r="M10" s="102"/>
      <c r="N10" s="102"/>
      <c r="O10" s="102"/>
      <c r="P10" s="83"/>
      <c r="Q10" s="102"/>
      <c r="R10" s="102"/>
      <c r="S10" s="102"/>
      <c r="T10" s="102"/>
      <c r="U10" s="102"/>
      <c r="V10" s="102"/>
      <c r="W10" s="102"/>
      <c r="X10" s="83"/>
      <c r="Y10" s="102"/>
      <c r="Z10" s="102"/>
      <c r="AA10" s="102"/>
      <c r="AB10" s="83"/>
      <c r="AC10" s="102"/>
      <c r="AD10" s="102"/>
      <c r="AE10" s="102"/>
      <c r="AF10" s="102"/>
      <c r="AG10" s="102"/>
      <c r="AH10" s="102"/>
      <c r="AI10" s="102"/>
      <c r="AJ10" s="102"/>
      <c r="AK10" s="102"/>
      <c r="AL10" s="83"/>
      <c r="AM10" s="102"/>
      <c r="AN10" s="102"/>
      <c r="AO10" s="102"/>
    </row>
    <row r="11" spans="2:41" ht="12.95">
      <c r="B11" s="103"/>
      <c r="C11" s="79"/>
      <c r="D11" s="105"/>
      <c r="E11" s="105"/>
      <c r="F11" s="105"/>
      <c r="G11" s="105"/>
      <c r="H11" s="105"/>
      <c r="I11" s="105"/>
      <c r="J11" s="105"/>
      <c r="K11" s="105"/>
      <c r="L11" s="105"/>
      <c r="M11" s="105"/>
      <c r="N11" s="105"/>
      <c r="O11" s="105"/>
      <c r="P11" s="105"/>
      <c r="Q11" s="105"/>
      <c r="R11" s="105"/>
      <c r="S11" s="105"/>
      <c r="T11" s="105"/>
      <c r="U11" s="105"/>
      <c r="V11" s="105"/>
      <c r="W11" s="105"/>
      <c r="X11" s="105"/>
      <c r="Y11" s="105"/>
      <c r="Z11" s="105"/>
      <c r="AA11" s="105"/>
      <c r="AB11" s="105"/>
      <c r="AC11" s="105"/>
      <c r="AD11" s="105"/>
      <c r="AE11" s="105"/>
      <c r="AF11" s="105"/>
      <c r="AG11" s="105"/>
      <c r="AH11" s="105"/>
      <c r="AI11" s="105"/>
      <c r="AJ11" s="105"/>
      <c r="AK11" s="105"/>
      <c r="AL11" s="105"/>
      <c r="AM11" s="105"/>
      <c r="AN11" s="105"/>
      <c r="AO11" s="105"/>
    </row>
    <row r="12" spans="2:41" ht="12.95">
      <c r="B12" s="100" t="s">
        <v>102</v>
      </c>
      <c r="C12" s="101"/>
      <c r="D12" s="83"/>
      <c r="E12" s="102" t="s">
        <v>477</v>
      </c>
      <c r="F12" s="102"/>
      <c r="G12" s="102"/>
      <c r="H12" s="102"/>
      <c r="I12" s="102"/>
      <c r="J12" s="102" t="s">
        <v>476</v>
      </c>
      <c r="K12" s="83"/>
      <c r="L12" s="102"/>
      <c r="M12" s="102"/>
      <c r="N12" s="102"/>
      <c r="O12" s="102"/>
      <c r="P12" s="83"/>
      <c r="Q12" s="102"/>
      <c r="R12" s="102"/>
      <c r="S12" s="102"/>
      <c r="T12" s="102"/>
      <c r="U12" s="102"/>
      <c r="V12" s="102"/>
      <c r="W12" s="102"/>
      <c r="X12" s="83"/>
      <c r="Y12" s="102"/>
      <c r="Z12" s="102"/>
      <c r="AA12" s="102"/>
      <c r="AB12" s="83"/>
      <c r="AC12" s="102"/>
      <c r="AD12" s="102"/>
      <c r="AE12" s="102"/>
      <c r="AF12" s="102"/>
      <c r="AG12" s="102"/>
      <c r="AH12" s="102"/>
      <c r="AI12" s="102"/>
      <c r="AJ12" s="102"/>
      <c r="AK12" s="102" t="s">
        <v>476</v>
      </c>
      <c r="AL12" s="83"/>
      <c r="AM12" s="102"/>
      <c r="AN12" s="102"/>
      <c r="AO12" s="102"/>
    </row>
    <row r="13" spans="2:41" ht="12.95">
      <c r="B13" s="79"/>
      <c r="C13" s="79"/>
      <c r="D13" s="105"/>
      <c r="E13" s="82"/>
      <c r="F13" s="82"/>
      <c r="G13" s="82"/>
      <c r="H13" s="82"/>
      <c r="I13" s="82"/>
      <c r="J13" s="82"/>
      <c r="K13" s="105"/>
      <c r="L13" s="82"/>
      <c r="M13" s="82"/>
      <c r="N13" s="82"/>
      <c r="O13" s="82"/>
      <c r="P13" s="105"/>
      <c r="Q13" s="82"/>
      <c r="R13" s="82"/>
      <c r="S13" s="82"/>
      <c r="T13" s="82"/>
      <c r="U13" s="82"/>
      <c r="V13" s="82"/>
      <c r="W13" s="82"/>
      <c r="X13" s="105"/>
      <c r="Y13" s="82"/>
      <c r="Z13" s="82"/>
      <c r="AA13" s="82"/>
      <c r="AB13" s="105"/>
      <c r="AC13" s="82"/>
      <c r="AD13" s="82"/>
      <c r="AE13" s="82"/>
      <c r="AF13" s="82"/>
      <c r="AG13" s="82"/>
      <c r="AH13" s="82"/>
      <c r="AI13" s="82"/>
      <c r="AJ13" s="82"/>
      <c r="AK13" s="82"/>
      <c r="AL13" s="105"/>
      <c r="AM13" s="82"/>
      <c r="AN13" s="82"/>
      <c r="AO13" s="82"/>
    </row>
    <row r="14" spans="2:41" ht="12.95">
      <c r="B14" s="100" t="s">
        <v>479</v>
      </c>
      <c r="C14" s="101"/>
      <c r="D14" s="83"/>
      <c r="E14" s="102" t="s">
        <v>477</v>
      </c>
      <c r="F14" s="102"/>
      <c r="G14" s="102"/>
      <c r="H14" s="102"/>
      <c r="I14" s="102"/>
      <c r="J14" s="102"/>
      <c r="K14" s="83"/>
      <c r="L14" s="102"/>
      <c r="M14" s="102"/>
      <c r="N14" s="102"/>
      <c r="O14" s="102"/>
      <c r="P14" s="83"/>
      <c r="Q14" s="102"/>
      <c r="R14" s="102"/>
      <c r="S14" s="102"/>
      <c r="T14" s="102"/>
      <c r="U14" s="102"/>
      <c r="V14" s="102"/>
      <c r="W14" s="102"/>
      <c r="X14" s="83"/>
      <c r="Y14" s="102"/>
      <c r="Z14" s="102"/>
      <c r="AA14" s="102"/>
      <c r="AB14" s="83"/>
      <c r="AC14" s="102"/>
      <c r="AD14" s="102"/>
      <c r="AE14" s="102"/>
      <c r="AF14" s="102"/>
      <c r="AG14" s="102"/>
      <c r="AH14" s="102"/>
      <c r="AI14" s="102"/>
      <c r="AJ14" s="102"/>
      <c r="AK14" s="102"/>
      <c r="AL14" s="83"/>
      <c r="AM14" s="102"/>
      <c r="AN14" s="102"/>
      <c r="AO14" s="102"/>
    </row>
    <row r="15" spans="2:41" ht="12.95">
      <c r="B15" s="103"/>
      <c r="C15" s="79"/>
      <c r="D15" s="105"/>
      <c r="E15" s="105"/>
      <c r="F15" s="105"/>
      <c r="G15" s="105"/>
      <c r="H15" s="105"/>
      <c r="I15" s="105"/>
      <c r="J15" s="105"/>
      <c r="K15" s="105"/>
      <c r="L15" s="105"/>
      <c r="M15" s="105"/>
      <c r="N15" s="105"/>
      <c r="O15" s="105"/>
      <c r="P15" s="105"/>
      <c r="Q15" s="105"/>
      <c r="R15" s="105"/>
      <c r="S15" s="105"/>
      <c r="T15" s="105"/>
      <c r="U15" s="105"/>
      <c r="V15" s="105"/>
      <c r="W15" s="105"/>
      <c r="X15" s="105"/>
      <c r="Y15" s="105"/>
      <c r="Z15" s="105"/>
      <c r="AA15" s="105"/>
      <c r="AB15" s="105"/>
      <c r="AC15" s="105"/>
      <c r="AD15" s="105"/>
      <c r="AE15" s="105"/>
      <c r="AF15" s="105"/>
      <c r="AG15" s="105"/>
      <c r="AH15" s="105"/>
      <c r="AI15" s="105"/>
      <c r="AJ15" s="105"/>
      <c r="AK15" s="105"/>
      <c r="AL15" s="105"/>
      <c r="AM15" s="105"/>
      <c r="AN15" s="105"/>
      <c r="AO15" s="105"/>
    </row>
    <row r="16" spans="2:41" ht="12.95">
      <c r="B16" s="100" t="s">
        <v>480</v>
      </c>
      <c r="C16" s="101"/>
      <c r="D16" s="83"/>
      <c r="E16" s="102" t="s">
        <v>476</v>
      </c>
      <c r="F16" s="102" t="s">
        <v>477</v>
      </c>
      <c r="G16" s="102"/>
      <c r="H16" s="102"/>
      <c r="I16" s="102"/>
      <c r="J16" s="102"/>
      <c r="K16" s="83"/>
      <c r="L16" s="102"/>
      <c r="M16" s="102"/>
      <c r="N16" s="102"/>
      <c r="O16" s="102"/>
      <c r="P16" s="83"/>
      <c r="Q16" s="102" t="s">
        <v>473</v>
      </c>
      <c r="R16" s="102" t="s">
        <v>473</v>
      </c>
      <c r="S16" s="102"/>
      <c r="T16" s="102"/>
      <c r="U16" s="102"/>
      <c r="V16" s="102"/>
      <c r="W16" s="102"/>
      <c r="X16" s="83"/>
      <c r="Y16" s="102"/>
      <c r="Z16" s="102"/>
      <c r="AA16" s="102"/>
      <c r="AB16" s="83"/>
      <c r="AC16" s="102"/>
      <c r="AD16" s="102"/>
      <c r="AE16" s="102"/>
      <c r="AF16" s="102"/>
      <c r="AG16" s="102"/>
      <c r="AH16" s="102"/>
      <c r="AI16" s="102"/>
      <c r="AJ16" s="102"/>
      <c r="AK16" s="102"/>
      <c r="AL16" s="83"/>
      <c r="AM16" s="102"/>
      <c r="AN16" s="102"/>
      <c r="AO16" s="102"/>
    </row>
    <row r="17" spans="2:41" ht="12.95">
      <c r="B17" s="103"/>
      <c r="C17" s="79"/>
      <c r="D17" s="105"/>
      <c r="E17" s="105"/>
      <c r="F17" s="105"/>
      <c r="G17" s="105"/>
      <c r="H17" s="105"/>
      <c r="I17" s="105"/>
      <c r="J17" s="105"/>
      <c r="K17" s="105"/>
      <c r="L17" s="105"/>
      <c r="M17" s="105"/>
      <c r="N17" s="105"/>
      <c r="O17" s="105"/>
      <c r="P17" s="105"/>
      <c r="Q17" s="105"/>
      <c r="R17" s="105"/>
      <c r="S17" s="105"/>
      <c r="T17" s="105"/>
      <c r="U17" s="105"/>
      <c r="V17" s="105"/>
      <c r="W17" s="105"/>
      <c r="X17" s="105"/>
      <c r="Y17" s="105"/>
      <c r="Z17" s="105"/>
      <c r="AA17" s="105"/>
      <c r="AB17" s="105"/>
      <c r="AC17" s="105"/>
      <c r="AD17" s="105"/>
      <c r="AE17" s="105"/>
      <c r="AF17" s="105"/>
      <c r="AG17" s="105"/>
      <c r="AH17" s="105"/>
      <c r="AI17" s="105"/>
      <c r="AJ17" s="105"/>
      <c r="AK17" s="105"/>
      <c r="AL17" s="105"/>
      <c r="AM17" s="105"/>
      <c r="AN17" s="105"/>
      <c r="AO17" s="105"/>
    </row>
    <row r="18" spans="2:41" ht="12.95">
      <c r="B18" s="100" t="s">
        <v>481</v>
      </c>
      <c r="C18" s="101"/>
      <c r="D18" s="83"/>
      <c r="E18" s="102" t="s">
        <v>476</v>
      </c>
      <c r="F18" s="102"/>
      <c r="G18" s="102"/>
      <c r="H18" s="102"/>
      <c r="I18" s="102"/>
      <c r="J18" s="102"/>
      <c r="K18" s="83"/>
      <c r="L18" s="102"/>
      <c r="M18" s="102"/>
      <c r="N18" s="102"/>
      <c r="O18" s="102"/>
      <c r="P18" s="83"/>
      <c r="Q18" s="102"/>
      <c r="R18" s="102"/>
      <c r="S18" s="102"/>
      <c r="T18" s="102"/>
      <c r="U18" s="102"/>
      <c r="V18" s="102"/>
      <c r="W18" s="102"/>
      <c r="X18" s="83"/>
      <c r="Y18" s="102"/>
      <c r="Z18" s="102"/>
      <c r="AA18" s="102"/>
      <c r="AB18" s="83"/>
      <c r="AC18" s="102"/>
      <c r="AD18" s="102"/>
      <c r="AE18" s="102"/>
      <c r="AF18" s="102"/>
      <c r="AG18" s="102"/>
      <c r="AH18" s="102"/>
      <c r="AI18" s="102"/>
      <c r="AJ18" s="102"/>
      <c r="AK18" s="102"/>
      <c r="AL18" s="83"/>
      <c r="AM18" s="102"/>
      <c r="AN18" s="102"/>
      <c r="AO18" s="102"/>
    </row>
    <row r="19" spans="2:41" ht="12.95">
      <c r="B19" s="103"/>
      <c r="C19" s="79"/>
      <c r="D19" s="105"/>
      <c r="E19" s="105"/>
      <c r="F19" s="105"/>
      <c r="G19" s="105"/>
      <c r="H19" s="105"/>
      <c r="I19" s="105"/>
      <c r="J19" s="105"/>
      <c r="K19" s="105"/>
      <c r="L19" s="105"/>
      <c r="M19" s="105"/>
      <c r="N19" s="105"/>
      <c r="O19" s="105"/>
      <c r="P19" s="105"/>
      <c r="Q19" s="105"/>
      <c r="R19" s="105"/>
      <c r="S19" s="105"/>
      <c r="T19" s="105"/>
      <c r="U19" s="105"/>
      <c r="V19" s="105"/>
      <c r="W19" s="105"/>
      <c r="X19" s="105"/>
      <c r="Y19" s="105"/>
      <c r="Z19" s="105"/>
      <c r="AA19" s="105"/>
      <c r="AB19" s="105"/>
      <c r="AC19" s="105"/>
      <c r="AD19" s="105"/>
      <c r="AE19" s="105"/>
      <c r="AF19" s="105"/>
      <c r="AG19" s="105"/>
      <c r="AH19" s="105"/>
      <c r="AI19" s="105"/>
      <c r="AJ19" s="105"/>
      <c r="AK19" s="105"/>
      <c r="AL19" s="105"/>
      <c r="AM19" s="105"/>
      <c r="AN19" s="105"/>
      <c r="AO19" s="105"/>
    </row>
    <row r="20" spans="2:41" ht="12.95">
      <c r="B20" s="100" t="s">
        <v>482</v>
      </c>
      <c r="C20" s="101"/>
      <c r="D20" s="83"/>
      <c r="E20" s="102" t="s">
        <v>476</v>
      </c>
      <c r="F20" s="102" t="s">
        <v>476</v>
      </c>
      <c r="G20" s="102"/>
      <c r="H20" s="102"/>
      <c r="I20" s="102"/>
      <c r="J20" s="102"/>
      <c r="K20" s="83"/>
      <c r="L20" s="102"/>
      <c r="M20" s="102"/>
      <c r="N20" s="102"/>
      <c r="O20" s="102"/>
      <c r="P20" s="83"/>
      <c r="Q20" s="102"/>
      <c r="R20" s="102"/>
      <c r="S20" s="102"/>
      <c r="T20" s="102"/>
      <c r="U20" s="102"/>
      <c r="V20" s="102"/>
      <c r="W20" s="102"/>
      <c r="X20" s="83"/>
      <c r="Y20" s="102"/>
      <c r="Z20" s="102"/>
      <c r="AA20" s="102"/>
      <c r="AB20" s="83"/>
      <c r="AC20" s="102"/>
      <c r="AD20" s="102"/>
      <c r="AE20" s="102"/>
      <c r="AF20" s="102"/>
      <c r="AG20" s="102"/>
      <c r="AH20" s="102"/>
      <c r="AI20" s="102"/>
      <c r="AJ20" s="102"/>
      <c r="AK20" s="102"/>
      <c r="AL20" s="83"/>
      <c r="AM20" s="102"/>
      <c r="AN20" s="102"/>
      <c r="AO20" s="102"/>
    </row>
    <row r="21" spans="2:41">
      <c r="B21" s="79"/>
      <c r="C21" s="79"/>
      <c r="D21" s="82"/>
      <c r="E21" s="82"/>
      <c r="F21" s="82"/>
      <c r="G21" s="82"/>
      <c r="H21" s="82"/>
      <c r="I21" s="82"/>
      <c r="J21" s="82"/>
      <c r="K21" s="82"/>
      <c r="L21" s="82"/>
      <c r="M21" s="82"/>
      <c r="N21" s="82"/>
      <c r="O21" s="82"/>
      <c r="P21" s="82"/>
      <c r="Q21" s="82"/>
      <c r="R21" s="82"/>
      <c r="S21" s="82"/>
      <c r="T21" s="82"/>
      <c r="U21" s="82"/>
      <c r="V21" s="82"/>
      <c r="W21" s="82"/>
      <c r="X21" s="82"/>
      <c r="Y21" s="82"/>
      <c r="Z21" s="82"/>
      <c r="AA21" s="82"/>
      <c r="AB21" s="82"/>
      <c r="AC21" s="82"/>
      <c r="AD21" s="82"/>
      <c r="AE21" s="82"/>
      <c r="AF21" s="82"/>
      <c r="AG21" s="82"/>
      <c r="AH21" s="82"/>
      <c r="AI21" s="82"/>
      <c r="AJ21" s="82"/>
      <c r="AK21" s="82"/>
      <c r="AL21" s="82"/>
      <c r="AM21" s="82"/>
      <c r="AN21" s="82"/>
      <c r="AO21" s="82"/>
    </row>
    <row r="22" spans="2:41" ht="12.95">
      <c r="B22" s="100" t="s">
        <v>87</v>
      </c>
      <c r="C22" s="101"/>
      <c r="D22" s="83"/>
      <c r="E22" s="102" t="s">
        <v>477</v>
      </c>
      <c r="F22" s="102"/>
      <c r="G22" s="102" t="s">
        <v>476</v>
      </c>
      <c r="H22" s="102"/>
      <c r="I22" s="102"/>
      <c r="J22" s="102"/>
      <c r="K22" s="83"/>
      <c r="L22" s="102"/>
      <c r="M22" s="102"/>
      <c r="N22" s="102"/>
      <c r="O22" s="102"/>
      <c r="P22" s="83"/>
      <c r="Q22" s="102"/>
      <c r="R22" s="102"/>
      <c r="S22" s="102"/>
      <c r="T22" s="102"/>
      <c r="U22" s="102"/>
      <c r="V22" s="102"/>
      <c r="W22" s="102"/>
      <c r="X22" s="83"/>
      <c r="Y22" s="102"/>
      <c r="Z22" s="102"/>
      <c r="AA22" s="102"/>
      <c r="AB22" s="83"/>
      <c r="AC22" s="102"/>
      <c r="AD22" s="102"/>
      <c r="AE22" s="102"/>
      <c r="AF22" s="102"/>
      <c r="AG22" s="102"/>
      <c r="AH22" s="102"/>
      <c r="AI22" s="102"/>
      <c r="AJ22" s="102"/>
      <c r="AK22" s="102"/>
      <c r="AL22" s="83"/>
      <c r="AM22" s="102"/>
      <c r="AN22" s="102"/>
      <c r="AO22" s="102"/>
    </row>
    <row r="23" spans="2:41">
      <c r="B23" s="79"/>
      <c r="C23" s="79"/>
      <c r="D23" s="82"/>
      <c r="E23" s="82"/>
      <c r="F23" s="82"/>
      <c r="G23" s="82"/>
      <c r="H23" s="82"/>
      <c r="I23" s="82"/>
      <c r="J23" s="82"/>
      <c r="K23" s="82"/>
      <c r="L23" s="82"/>
      <c r="M23" s="82"/>
      <c r="N23" s="82"/>
      <c r="O23" s="82"/>
      <c r="P23" s="82"/>
      <c r="Q23" s="82"/>
      <c r="R23" s="82"/>
      <c r="S23" s="82"/>
      <c r="T23" s="82"/>
      <c r="U23" s="82"/>
      <c r="V23" s="82"/>
      <c r="W23" s="82"/>
      <c r="X23" s="82"/>
      <c r="Y23" s="82"/>
      <c r="Z23" s="82"/>
      <c r="AA23" s="82"/>
      <c r="AB23" s="82"/>
      <c r="AC23" s="82"/>
      <c r="AD23" s="82"/>
      <c r="AE23" s="82"/>
      <c r="AF23" s="82"/>
      <c r="AG23" s="82"/>
      <c r="AH23" s="82"/>
      <c r="AI23" s="82"/>
      <c r="AJ23" s="82"/>
      <c r="AK23" s="82"/>
      <c r="AL23" s="82"/>
      <c r="AM23" s="82"/>
      <c r="AN23" s="82"/>
      <c r="AO23" s="82"/>
    </row>
    <row r="24" spans="2:41" ht="12.95">
      <c r="B24" s="100" t="s">
        <v>92</v>
      </c>
      <c r="C24" s="101"/>
      <c r="D24" s="83"/>
      <c r="E24" s="102" t="s">
        <v>477</v>
      </c>
      <c r="F24" s="102"/>
      <c r="G24" s="102"/>
      <c r="H24" s="102" t="s">
        <v>476</v>
      </c>
      <c r="I24" s="102"/>
      <c r="J24" s="102"/>
      <c r="K24" s="83"/>
      <c r="L24" s="102"/>
      <c r="M24" s="102"/>
      <c r="N24" s="102"/>
      <c r="O24" s="102"/>
      <c r="P24" s="83"/>
      <c r="Q24" s="102"/>
      <c r="R24" s="102"/>
      <c r="S24" s="102"/>
      <c r="T24" s="102"/>
      <c r="U24" s="102"/>
      <c r="V24" s="102"/>
      <c r="W24" s="102"/>
      <c r="X24" s="83"/>
      <c r="Y24" s="102"/>
      <c r="Z24" s="102"/>
      <c r="AA24" s="102"/>
      <c r="AB24" s="83"/>
      <c r="AC24" s="102"/>
      <c r="AD24" s="102" t="s">
        <v>477</v>
      </c>
      <c r="AE24" s="102" t="s">
        <v>476</v>
      </c>
      <c r="AF24" s="102"/>
      <c r="AG24" s="102"/>
      <c r="AH24" s="102"/>
      <c r="AI24" s="102"/>
      <c r="AJ24" s="102"/>
      <c r="AK24" s="102"/>
      <c r="AL24" s="83"/>
      <c r="AM24" s="102"/>
      <c r="AN24" s="102"/>
      <c r="AO24" s="102"/>
    </row>
    <row r="25" spans="2:41">
      <c r="B25" s="79"/>
      <c r="C25" s="79"/>
      <c r="D25" s="82"/>
      <c r="E25" s="82"/>
      <c r="F25" s="82"/>
      <c r="G25" s="82"/>
      <c r="H25" s="82"/>
      <c r="I25" s="82"/>
      <c r="J25" s="82"/>
      <c r="K25" s="82"/>
      <c r="L25" s="82"/>
      <c r="M25" s="82"/>
      <c r="N25" s="82"/>
      <c r="O25" s="82"/>
      <c r="P25" s="82"/>
      <c r="Q25" s="82"/>
      <c r="R25" s="82"/>
      <c r="S25" s="82"/>
      <c r="T25" s="82"/>
      <c r="U25" s="82"/>
      <c r="V25" s="82"/>
      <c r="W25" s="82"/>
      <c r="X25" s="82"/>
      <c r="Y25" s="82"/>
      <c r="Z25" s="82"/>
      <c r="AA25" s="82"/>
      <c r="AB25" s="82"/>
      <c r="AC25" s="82"/>
      <c r="AD25" s="82"/>
      <c r="AE25" s="82"/>
      <c r="AF25" s="82"/>
      <c r="AG25" s="82"/>
      <c r="AH25" s="82"/>
      <c r="AI25" s="82"/>
      <c r="AJ25" s="82"/>
      <c r="AK25" s="82"/>
      <c r="AL25" s="82"/>
      <c r="AM25" s="82"/>
      <c r="AN25" s="82"/>
      <c r="AO25" s="82"/>
    </row>
    <row r="26" spans="2:41" ht="12.95">
      <c r="B26" s="100" t="s">
        <v>483</v>
      </c>
      <c r="C26" s="101"/>
      <c r="D26" s="83"/>
      <c r="E26" s="102" t="s">
        <v>477</v>
      </c>
      <c r="F26" s="102"/>
      <c r="G26" s="102"/>
      <c r="H26" s="102"/>
      <c r="I26" s="102" t="s">
        <v>476</v>
      </c>
      <c r="J26" s="102"/>
      <c r="K26" s="83"/>
      <c r="L26" s="102"/>
      <c r="M26" s="102"/>
      <c r="N26" s="102"/>
      <c r="O26" s="102"/>
      <c r="P26" s="83"/>
      <c r="Q26" s="102"/>
      <c r="R26" s="102"/>
      <c r="S26" s="102"/>
      <c r="T26" s="102"/>
      <c r="U26" s="102"/>
      <c r="V26" s="102"/>
      <c r="W26" s="102"/>
      <c r="X26" s="83"/>
      <c r="Y26" s="102"/>
      <c r="Z26" s="102"/>
      <c r="AA26" s="102"/>
      <c r="AB26" s="83"/>
      <c r="AC26" s="102"/>
      <c r="AD26" s="102"/>
      <c r="AE26" s="102"/>
      <c r="AF26" s="102"/>
      <c r="AG26" s="102"/>
      <c r="AH26" s="102"/>
      <c r="AI26" s="102"/>
      <c r="AJ26" s="102"/>
      <c r="AK26" s="102"/>
      <c r="AL26" s="83"/>
      <c r="AM26" s="102"/>
      <c r="AN26" s="102"/>
      <c r="AO26" s="102"/>
    </row>
    <row r="27" spans="2:41" ht="12.95">
      <c r="B27" s="103"/>
      <c r="C27" s="79"/>
      <c r="D27" s="105"/>
      <c r="E27" s="105"/>
      <c r="F27" s="105"/>
      <c r="G27" s="105"/>
      <c r="H27" s="105"/>
      <c r="I27" s="105"/>
      <c r="J27" s="82"/>
      <c r="K27" s="105"/>
      <c r="L27" s="105"/>
      <c r="M27" s="105"/>
      <c r="N27" s="105"/>
      <c r="O27" s="105"/>
      <c r="P27" s="105"/>
      <c r="Q27" s="105"/>
      <c r="R27" s="105"/>
      <c r="S27" s="105"/>
      <c r="T27" s="105"/>
      <c r="U27" s="105"/>
      <c r="V27" s="105"/>
      <c r="W27" s="105"/>
      <c r="X27" s="105"/>
      <c r="Y27" s="105"/>
      <c r="Z27" s="105"/>
      <c r="AA27" s="105"/>
      <c r="AB27" s="105"/>
      <c r="AC27" s="105"/>
      <c r="AD27" s="105"/>
      <c r="AE27" s="105"/>
      <c r="AF27" s="105"/>
      <c r="AG27" s="105"/>
      <c r="AH27" s="105"/>
      <c r="AI27" s="105"/>
      <c r="AJ27" s="105"/>
      <c r="AK27" s="82"/>
      <c r="AL27" s="105"/>
      <c r="AM27" s="105"/>
      <c r="AN27" s="105"/>
      <c r="AO27" s="105"/>
    </row>
    <row r="28" spans="2:41" ht="12.95">
      <c r="B28" s="100" t="s">
        <v>484</v>
      </c>
      <c r="C28" s="101"/>
      <c r="D28" s="83"/>
      <c r="E28" s="102" t="s">
        <v>477</v>
      </c>
      <c r="F28" s="102"/>
      <c r="G28" s="102"/>
      <c r="H28" s="102"/>
      <c r="I28" s="102"/>
      <c r="J28" s="102" t="s">
        <v>477</v>
      </c>
      <c r="K28" s="83"/>
      <c r="L28" s="102"/>
      <c r="M28" s="102"/>
      <c r="N28" s="102"/>
      <c r="O28" s="102"/>
      <c r="P28" s="83"/>
      <c r="Q28" s="102" t="s">
        <v>477</v>
      </c>
      <c r="R28" s="102" t="s">
        <v>476</v>
      </c>
      <c r="S28" s="102" t="s">
        <v>477</v>
      </c>
      <c r="T28" s="102" t="s">
        <v>477</v>
      </c>
      <c r="U28" s="102" t="s">
        <v>477</v>
      </c>
      <c r="V28" s="102" t="s">
        <v>477</v>
      </c>
      <c r="W28" s="102" t="s">
        <v>477</v>
      </c>
      <c r="X28" s="83"/>
      <c r="Y28" s="102" t="s">
        <v>477</v>
      </c>
      <c r="Z28" s="102" t="s">
        <v>477</v>
      </c>
      <c r="AA28" s="102"/>
      <c r="AB28" s="83"/>
      <c r="AC28" s="102" t="s">
        <v>477</v>
      </c>
      <c r="AD28" s="102" t="s">
        <v>477</v>
      </c>
      <c r="AE28" s="102"/>
      <c r="AF28" s="102"/>
      <c r="AG28" s="102"/>
      <c r="AH28" s="102"/>
      <c r="AI28" s="102"/>
      <c r="AJ28" s="102"/>
      <c r="AK28" s="102"/>
      <c r="AL28" s="83"/>
      <c r="AM28" s="102"/>
      <c r="AN28" s="102" t="s">
        <v>477</v>
      </c>
      <c r="AO28" s="102"/>
    </row>
    <row r="29" spans="2:41">
      <c r="B29" s="79"/>
      <c r="C29" s="79"/>
      <c r="D29" s="82"/>
      <c r="E29" s="82"/>
      <c r="F29" s="82"/>
      <c r="G29" s="82"/>
      <c r="H29" s="82"/>
      <c r="I29" s="82"/>
      <c r="J29" s="82"/>
      <c r="K29" s="82"/>
      <c r="L29" s="82"/>
      <c r="M29" s="82"/>
      <c r="N29" s="82"/>
      <c r="O29" s="82"/>
      <c r="P29" s="82"/>
      <c r="Q29" s="82"/>
      <c r="R29" s="82"/>
      <c r="S29" s="82"/>
      <c r="T29" s="82"/>
      <c r="U29" s="82"/>
      <c r="V29" s="82"/>
      <c r="W29" s="82"/>
      <c r="X29" s="82"/>
      <c r="Y29" s="82"/>
      <c r="Z29" s="82"/>
      <c r="AA29" s="82"/>
      <c r="AB29" s="82"/>
      <c r="AC29" s="82"/>
      <c r="AD29" s="82"/>
      <c r="AE29" s="82"/>
      <c r="AF29" s="82"/>
      <c r="AG29" s="82"/>
      <c r="AH29" s="82"/>
      <c r="AI29" s="82"/>
      <c r="AJ29" s="82"/>
      <c r="AK29" s="82"/>
      <c r="AL29" s="82"/>
      <c r="AM29" s="82"/>
      <c r="AN29" s="82"/>
      <c r="AO29" s="82"/>
    </row>
    <row r="30" spans="2:41" ht="12.95">
      <c r="B30" s="100" t="s">
        <v>113</v>
      </c>
      <c r="C30" s="101"/>
      <c r="D30" s="83"/>
      <c r="E30" s="102" t="s">
        <v>477</v>
      </c>
      <c r="F30" s="102"/>
      <c r="G30" s="102"/>
      <c r="H30" s="102"/>
      <c r="I30" s="102"/>
      <c r="J30" s="102"/>
      <c r="K30" s="83"/>
      <c r="L30" s="102"/>
      <c r="M30" s="102" t="s">
        <v>471</v>
      </c>
      <c r="N30" s="102"/>
      <c r="O30" s="102"/>
      <c r="P30" s="83"/>
      <c r="Q30" s="102"/>
      <c r="R30" s="102"/>
      <c r="S30" s="102"/>
      <c r="T30" s="102"/>
      <c r="U30" s="102"/>
      <c r="V30" s="102"/>
      <c r="W30" s="102"/>
      <c r="X30" s="83"/>
      <c r="Y30" s="102"/>
      <c r="Z30" s="102"/>
      <c r="AA30" s="102"/>
      <c r="AB30" s="83"/>
      <c r="AC30" s="102"/>
      <c r="AD30" s="102"/>
      <c r="AE30" s="102"/>
      <c r="AF30" s="102"/>
      <c r="AG30" s="102"/>
      <c r="AH30" s="102"/>
      <c r="AI30" s="102"/>
      <c r="AJ30" s="102"/>
      <c r="AK30" s="102"/>
      <c r="AL30" s="83"/>
      <c r="AM30" s="102"/>
      <c r="AN30" s="102"/>
      <c r="AO30" s="102"/>
    </row>
    <row r="31" spans="2:41">
      <c r="B31" s="79"/>
      <c r="C31" s="79"/>
      <c r="D31" s="82"/>
      <c r="E31" s="82"/>
      <c r="F31" s="82"/>
      <c r="G31" s="82"/>
      <c r="H31" s="82"/>
      <c r="I31" s="82"/>
      <c r="J31" s="82"/>
      <c r="K31" s="82"/>
      <c r="L31" s="82"/>
      <c r="M31" s="82"/>
      <c r="N31" s="82"/>
      <c r="O31" s="82"/>
      <c r="P31" s="82"/>
      <c r="Q31" s="82"/>
      <c r="R31" s="82"/>
      <c r="S31" s="82"/>
      <c r="T31" s="82"/>
      <c r="U31" s="82"/>
      <c r="V31" s="82"/>
      <c r="W31" s="82"/>
      <c r="X31" s="82"/>
      <c r="Y31" s="82"/>
      <c r="Z31" s="82"/>
      <c r="AA31" s="82"/>
      <c r="AB31" s="82"/>
      <c r="AC31" s="82"/>
      <c r="AD31" s="82"/>
      <c r="AE31" s="82"/>
      <c r="AF31" s="82"/>
      <c r="AG31" s="82"/>
      <c r="AH31" s="82"/>
      <c r="AI31" s="82"/>
      <c r="AJ31" s="82"/>
      <c r="AK31" s="82"/>
      <c r="AL31" s="82"/>
      <c r="AM31" s="82"/>
      <c r="AN31" s="82"/>
      <c r="AO31" s="82"/>
    </row>
    <row r="32" spans="2:41" ht="12.95">
      <c r="B32" s="100" t="s">
        <v>485</v>
      </c>
      <c r="C32" s="101"/>
      <c r="D32" s="83"/>
      <c r="E32" s="102" t="s">
        <v>477</v>
      </c>
      <c r="F32" s="102"/>
      <c r="G32" s="102"/>
      <c r="H32" s="102"/>
      <c r="I32" s="102"/>
      <c r="J32" s="102"/>
      <c r="K32" s="83"/>
      <c r="L32" s="102" t="s">
        <v>471</v>
      </c>
      <c r="M32" s="102"/>
      <c r="N32" s="102" t="s">
        <v>477</v>
      </c>
      <c r="O32" s="102"/>
      <c r="P32" s="83"/>
      <c r="Q32" s="102"/>
      <c r="R32" s="102"/>
      <c r="S32" s="102"/>
      <c r="T32" s="102"/>
      <c r="U32" s="102"/>
      <c r="V32" s="102"/>
      <c r="W32" s="102"/>
      <c r="X32" s="83"/>
      <c r="Y32" s="102"/>
      <c r="Z32" s="102"/>
      <c r="AA32" s="102"/>
      <c r="AB32" s="83"/>
      <c r="AC32" s="102"/>
      <c r="AD32" s="102"/>
      <c r="AE32" s="102"/>
      <c r="AF32" s="102"/>
      <c r="AG32" s="102"/>
      <c r="AH32" s="102"/>
      <c r="AI32" s="102"/>
      <c r="AJ32" s="102"/>
      <c r="AK32" s="102"/>
      <c r="AL32" s="83"/>
      <c r="AM32" s="102"/>
      <c r="AN32" s="102"/>
      <c r="AO32" s="102"/>
    </row>
    <row r="33" spans="2:41">
      <c r="B33" s="79"/>
      <c r="C33" s="79"/>
      <c r="D33" s="82"/>
      <c r="E33" s="82"/>
      <c r="F33" s="82"/>
      <c r="G33" s="82"/>
      <c r="H33" s="82"/>
      <c r="I33" s="82"/>
      <c r="J33" s="82"/>
      <c r="K33" s="82"/>
      <c r="L33" s="82"/>
      <c r="M33" s="82"/>
      <c r="N33" s="82"/>
      <c r="O33" s="82"/>
      <c r="P33" s="82"/>
      <c r="Q33" s="82"/>
      <c r="R33" s="82"/>
      <c r="S33" s="82"/>
      <c r="T33" s="82"/>
      <c r="U33" s="82"/>
      <c r="V33" s="82"/>
      <c r="W33" s="82"/>
      <c r="X33" s="82"/>
      <c r="Y33" s="82"/>
      <c r="Z33" s="82"/>
      <c r="AA33" s="82"/>
      <c r="AB33" s="82"/>
      <c r="AC33" s="82"/>
      <c r="AD33" s="82"/>
      <c r="AE33" s="82"/>
      <c r="AF33" s="82"/>
      <c r="AG33" s="82"/>
      <c r="AH33" s="82"/>
      <c r="AI33" s="82"/>
      <c r="AJ33" s="82"/>
      <c r="AK33" s="82"/>
      <c r="AL33" s="82"/>
      <c r="AM33" s="82"/>
      <c r="AN33" s="82"/>
      <c r="AO33" s="82"/>
    </row>
    <row r="34" spans="2:41" ht="12.95">
      <c r="B34" s="100" t="s">
        <v>486</v>
      </c>
      <c r="C34" s="101"/>
      <c r="D34" s="83"/>
      <c r="E34" s="102" t="s">
        <v>477</v>
      </c>
      <c r="F34" s="102"/>
      <c r="G34" s="102"/>
      <c r="H34" s="102"/>
      <c r="I34" s="102"/>
      <c r="J34" s="102"/>
      <c r="K34" s="83"/>
      <c r="L34" s="102"/>
      <c r="M34" s="102"/>
      <c r="N34" s="102" t="s">
        <v>471</v>
      </c>
      <c r="O34" s="102"/>
      <c r="P34" s="83"/>
      <c r="Q34" s="102"/>
      <c r="R34" s="102"/>
      <c r="S34" s="102"/>
      <c r="T34" s="102"/>
      <c r="U34" s="102"/>
      <c r="V34" s="102"/>
      <c r="W34" s="102"/>
      <c r="X34" s="83"/>
      <c r="Y34" s="102"/>
      <c r="Z34" s="102"/>
      <c r="AA34" s="102"/>
      <c r="AB34" s="83"/>
      <c r="AC34" s="102"/>
      <c r="AD34" s="102"/>
      <c r="AE34" s="102"/>
      <c r="AF34" s="102"/>
      <c r="AG34" s="102"/>
      <c r="AH34" s="102"/>
      <c r="AI34" s="102"/>
      <c r="AJ34" s="102"/>
      <c r="AK34" s="102"/>
      <c r="AL34" s="83"/>
      <c r="AM34" s="102"/>
      <c r="AN34" s="102"/>
      <c r="AO34" s="102"/>
    </row>
    <row r="35" spans="2:41">
      <c r="B35" s="79"/>
      <c r="C35" s="79"/>
      <c r="D35" s="82"/>
      <c r="E35" s="82"/>
      <c r="F35" s="82"/>
      <c r="G35" s="82"/>
      <c r="H35" s="82"/>
      <c r="I35" s="82"/>
      <c r="J35" s="82"/>
      <c r="K35" s="82"/>
      <c r="L35" s="82"/>
      <c r="M35" s="82"/>
      <c r="N35" s="82"/>
      <c r="O35" s="82"/>
      <c r="P35" s="82"/>
      <c r="Q35" s="82"/>
      <c r="R35" s="82"/>
      <c r="S35" s="82"/>
      <c r="T35" s="82"/>
      <c r="U35" s="82"/>
      <c r="V35" s="82"/>
      <c r="W35" s="82"/>
      <c r="X35" s="82"/>
      <c r="Y35" s="82"/>
      <c r="Z35" s="82"/>
      <c r="AA35" s="82"/>
      <c r="AB35" s="82"/>
      <c r="AC35" s="82"/>
      <c r="AD35" s="82"/>
      <c r="AE35" s="82"/>
      <c r="AF35" s="82"/>
      <c r="AG35" s="82"/>
      <c r="AH35" s="82"/>
      <c r="AI35" s="82"/>
      <c r="AJ35" s="82"/>
      <c r="AK35" s="82"/>
      <c r="AL35" s="82"/>
      <c r="AM35" s="82"/>
      <c r="AN35" s="82"/>
      <c r="AO35" s="82"/>
    </row>
    <row r="36" spans="2:41" ht="12.95">
      <c r="B36" s="100" t="s">
        <v>487</v>
      </c>
      <c r="C36" s="101"/>
      <c r="D36" s="83"/>
      <c r="E36" s="102" t="s">
        <v>477</v>
      </c>
      <c r="F36" s="102"/>
      <c r="G36" s="102"/>
      <c r="H36" s="102"/>
      <c r="I36" s="102"/>
      <c r="J36" s="102"/>
      <c r="K36" s="83"/>
      <c r="L36" s="102" t="s">
        <v>476</v>
      </c>
      <c r="M36" s="102"/>
      <c r="N36" s="102"/>
      <c r="O36" s="102"/>
      <c r="P36" s="83"/>
      <c r="Q36" s="102"/>
      <c r="R36" s="102"/>
      <c r="S36" s="102"/>
      <c r="T36" s="102"/>
      <c r="U36" s="102"/>
      <c r="V36" s="102"/>
      <c r="W36" s="102"/>
      <c r="X36" s="83"/>
      <c r="Y36" s="102"/>
      <c r="Z36" s="102"/>
      <c r="AA36" s="102"/>
      <c r="AB36" s="83"/>
      <c r="AC36" s="102"/>
      <c r="AD36" s="102"/>
      <c r="AE36" s="102"/>
      <c r="AF36" s="102"/>
      <c r="AG36" s="102"/>
      <c r="AH36" s="102"/>
      <c r="AI36" s="102"/>
      <c r="AJ36" s="102"/>
      <c r="AK36" s="102"/>
      <c r="AL36" s="83"/>
      <c r="AM36" s="102"/>
      <c r="AN36" s="102"/>
      <c r="AO36" s="102"/>
    </row>
    <row r="37" spans="2:41">
      <c r="B37" s="79"/>
      <c r="C37" s="79"/>
      <c r="D37" s="82"/>
      <c r="E37" s="82"/>
      <c r="F37" s="82"/>
      <c r="G37" s="82"/>
      <c r="H37" s="82"/>
      <c r="I37" s="82"/>
      <c r="J37" s="82"/>
      <c r="K37" s="82"/>
      <c r="L37" s="82"/>
      <c r="M37" s="82"/>
      <c r="N37" s="82"/>
      <c r="O37" s="82"/>
      <c r="P37" s="82"/>
      <c r="Q37" s="82"/>
      <c r="R37" s="82"/>
      <c r="S37" s="82"/>
      <c r="T37" s="82"/>
      <c r="U37" s="82"/>
      <c r="V37" s="82"/>
      <c r="W37" s="82"/>
      <c r="X37" s="82"/>
      <c r="Y37" s="82"/>
      <c r="Z37" s="82"/>
      <c r="AA37" s="82"/>
      <c r="AB37" s="82"/>
      <c r="AC37" s="82"/>
      <c r="AD37" s="82"/>
      <c r="AE37" s="82"/>
      <c r="AF37" s="82"/>
      <c r="AG37" s="82"/>
      <c r="AH37" s="82"/>
      <c r="AI37" s="82"/>
      <c r="AJ37" s="82"/>
      <c r="AK37" s="82"/>
      <c r="AL37" s="82"/>
      <c r="AM37" s="82"/>
      <c r="AN37" s="82"/>
      <c r="AO37" s="82"/>
    </row>
    <row r="38" spans="2:41" ht="12.95">
      <c r="B38" s="100" t="s">
        <v>488</v>
      </c>
      <c r="C38" s="101"/>
      <c r="D38" s="83"/>
      <c r="E38" s="102" t="s">
        <v>477</v>
      </c>
      <c r="F38" s="102"/>
      <c r="G38" s="102"/>
      <c r="H38" s="102"/>
      <c r="I38" s="102"/>
      <c r="J38" s="102"/>
      <c r="K38" s="83"/>
      <c r="L38" s="102"/>
      <c r="M38" s="102"/>
      <c r="N38" s="102"/>
      <c r="O38" s="102" t="s">
        <v>477</v>
      </c>
      <c r="P38" s="83"/>
      <c r="Q38" s="102"/>
      <c r="R38" s="102"/>
      <c r="S38" s="102"/>
      <c r="T38" s="102"/>
      <c r="U38" s="102"/>
      <c r="V38" s="102"/>
      <c r="W38" s="102"/>
      <c r="X38" s="83"/>
      <c r="Y38" s="102"/>
      <c r="Z38" s="102"/>
      <c r="AA38" s="102"/>
      <c r="AB38" s="83"/>
      <c r="AC38" s="102"/>
      <c r="AD38" s="102"/>
      <c r="AE38" s="102"/>
      <c r="AF38" s="102"/>
      <c r="AG38" s="102"/>
      <c r="AH38" s="102"/>
      <c r="AI38" s="102"/>
      <c r="AJ38" s="102"/>
      <c r="AK38" s="102"/>
      <c r="AL38" s="83"/>
      <c r="AM38" s="102"/>
      <c r="AN38" s="102"/>
      <c r="AO38" s="102"/>
    </row>
    <row r="39" spans="2:41" ht="12.95">
      <c r="B39" s="79"/>
      <c r="C39" s="79"/>
      <c r="D39" s="105"/>
      <c r="E39" s="82"/>
      <c r="F39" s="82"/>
      <c r="G39" s="82"/>
      <c r="H39" s="82"/>
      <c r="I39" s="82"/>
      <c r="J39" s="105"/>
      <c r="K39" s="105"/>
      <c r="L39" s="82"/>
      <c r="M39" s="82"/>
      <c r="N39" s="82"/>
      <c r="O39" s="82"/>
      <c r="P39" s="105"/>
      <c r="Q39" s="82"/>
      <c r="R39" s="82"/>
      <c r="S39" s="82"/>
      <c r="T39" s="82"/>
      <c r="U39" s="82"/>
      <c r="V39" s="82"/>
      <c r="W39" s="82"/>
      <c r="X39" s="105"/>
      <c r="Y39" s="82"/>
      <c r="Z39" s="82"/>
      <c r="AA39" s="82"/>
      <c r="AB39" s="105"/>
      <c r="AC39" s="82"/>
      <c r="AD39" s="82"/>
      <c r="AE39" s="82"/>
      <c r="AF39" s="82"/>
      <c r="AG39" s="82"/>
      <c r="AH39" s="82"/>
      <c r="AI39" s="82"/>
      <c r="AJ39" s="82"/>
      <c r="AK39" s="105"/>
      <c r="AL39" s="105"/>
      <c r="AM39" s="82"/>
      <c r="AN39" s="82"/>
      <c r="AO39" s="82"/>
    </row>
    <row r="40" spans="2:41" ht="12.95">
      <c r="B40" s="100" t="s">
        <v>126</v>
      </c>
      <c r="C40" s="101"/>
      <c r="D40" s="83"/>
      <c r="E40" s="102" t="s">
        <v>477</v>
      </c>
      <c r="F40" s="102"/>
      <c r="G40" s="102"/>
      <c r="H40" s="102"/>
      <c r="I40" s="102"/>
      <c r="J40" s="102"/>
      <c r="K40" s="83"/>
      <c r="L40" s="102"/>
      <c r="M40" s="102"/>
      <c r="N40" s="102"/>
      <c r="O40" s="102" t="s">
        <v>471</v>
      </c>
      <c r="P40" s="83"/>
      <c r="Q40" s="102"/>
      <c r="R40" s="102"/>
      <c r="S40" s="102"/>
      <c r="T40" s="102"/>
      <c r="U40" s="102"/>
      <c r="V40" s="102"/>
      <c r="W40" s="102"/>
      <c r="X40" s="83"/>
      <c r="Y40" s="102"/>
      <c r="Z40" s="102"/>
      <c r="AA40" s="102"/>
      <c r="AB40" s="83"/>
      <c r="AC40" s="102"/>
      <c r="AD40" s="102"/>
      <c r="AE40" s="102"/>
      <c r="AF40" s="102"/>
      <c r="AG40" s="102"/>
      <c r="AH40" s="102"/>
      <c r="AI40" s="102"/>
      <c r="AJ40" s="102"/>
      <c r="AK40" s="102"/>
      <c r="AL40" s="83"/>
      <c r="AM40" s="102"/>
      <c r="AN40" s="102"/>
      <c r="AO40" s="102"/>
    </row>
    <row r="41" spans="2:41" ht="12.95">
      <c r="B41" s="103"/>
      <c r="C41" s="79"/>
      <c r="D41" s="105"/>
      <c r="E41" s="105"/>
      <c r="F41" s="105"/>
      <c r="G41" s="105"/>
      <c r="H41" s="105"/>
      <c r="I41" s="105"/>
      <c r="J41" s="82"/>
      <c r="K41" s="105"/>
      <c r="L41" s="105"/>
      <c r="M41" s="105"/>
      <c r="N41" s="105"/>
      <c r="O41" s="105"/>
      <c r="P41" s="105"/>
      <c r="Q41" s="105"/>
      <c r="R41" s="105"/>
      <c r="S41" s="105"/>
      <c r="T41" s="105"/>
      <c r="U41" s="105"/>
      <c r="V41" s="105"/>
      <c r="W41" s="105"/>
      <c r="X41" s="105"/>
      <c r="Y41" s="105"/>
      <c r="Z41" s="105"/>
      <c r="AA41" s="105"/>
      <c r="AB41" s="105"/>
      <c r="AC41" s="105"/>
      <c r="AD41" s="105"/>
      <c r="AE41" s="105"/>
      <c r="AF41" s="105"/>
      <c r="AG41" s="105"/>
      <c r="AH41" s="105"/>
      <c r="AI41" s="105"/>
      <c r="AJ41" s="105"/>
      <c r="AK41" s="82"/>
      <c r="AL41" s="105"/>
      <c r="AM41" s="105"/>
      <c r="AN41" s="105"/>
      <c r="AO41" s="105"/>
    </row>
    <row r="42" spans="2:41" ht="12.95">
      <c r="B42" s="100" t="s">
        <v>489</v>
      </c>
      <c r="C42" s="101"/>
      <c r="D42" s="83"/>
      <c r="E42" s="102" t="s">
        <v>477</v>
      </c>
      <c r="F42" s="102"/>
      <c r="G42" s="102"/>
      <c r="H42" s="102"/>
      <c r="I42" s="102"/>
      <c r="J42" s="102"/>
      <c r="K42" s="83"/>
      <c r="L42" s="102"/>
      <c r="M42" s="102" t="s">
        <v>476</v>
      </c>
      <c r="N42" s="102"/>
      <c r="O42" s="102"/>
      <c r="P42" s="83"/>
      <c r="Q42" s="102"/>
      <c r="R42" s="102"/>
      <c r="S42" s="102"/>
      <c r="T42" s="102"/>
      <c r="U42" s="102"/>
      <c r="V42" s="102"/>
      <c r="W42" s="102"/>
      <c r="X42" s="83"/>
      <c r="Y42" s="102"/>
      <c r="Z42" s="102"/>
      <c r="AA42" s="102"/>
      <c r="AB42" s="83"/>
      <c r="AC42" s="102"/>
      <c r="AD42" s="102"/>
      <c r="AE42" s="102"/>
      <c r="AF42" s="102"/>
      <c r="AG42" s="102"/>
      <c r="AH42" s="102"/>
      <c r="AI42" s="102"/>
      <c r="AJ42" s="102"/>
      <c r="AK42" s="102"/>
      <c r="AL42" s="83"/>
      <c r="AM42" s="102"/>
      <c r="AN42" s="102"/>
      <c r="AO42" s="102"/>
    </row>
    <row r="43" spans="2:41" ht="12.95">
      <c r="B43" s="103"/>
      <c r="C43" s="79"/>
      <c r="D43" s="105"/>
      <c r="E43" s="105"/>
      <c r="F43" s="105"/>
      <c r="G43" s="105"/>
      <c r="H43" s="105"/>
      <c r="I43" s="105"/>
      <c r="J43" s="82"/>
      <c r="K43" s="105"/>
      <c r="L43" s="105"/>
      <c r="M43" s="105"/>
      <c r="N43" s="105"/>
      <c r="O43" s="105"/>
      <c r="P43" s="105"/>
      <c r="Q43" s="105"/>
      <c r="R43" s="105"/>
      <c r="S43" s="105"/>
      <c r="T43" s="105"/>
      <c r="U43" s="105"/>
      <c r="V43" s="105"/>
      <c r="W43" s="105"/>
      <c r="X43" s="105"/>
      <c r="Y43" s="105"/>
      <c r="Z43" s="105"/>
      <c r="AA43" s="105"/>
      <c r="AB43" s="105"/>
      <c r="AC43" s="105"/>
      <c r="AD43" s="105"/>
      <c r="AE43" s="105"/>
      <c r="AF43" s="105"/>
      <c r="AG43" s="105"/>
      <c r="AH43" s="105"/>
      <c r="AI43" s="105"/>
      <c r="AJ43" s="105"/>
      <c r="AK43" s="82"/>
      <c r="AL43" s="105"/>
      <c r="AM43" s="105"/>
      <c r="AN43" s="105"/>
      <c r="AO43" s="105"/>
    </row>
    <row r="44" spans="2:41" ht="12.95">
      <c r="B44" s="100" t="s">
        <v>490</v>
      </c>
      <c r="C44" s="101"/>
      <c r="D44" s="83"/>
      <c r="E44" s="102" t="s">
        <v>477</v>
      </c>
      <c r="F44" s="102"/>
      <c r="G44" s="102"/>
      <c r="H44" s="102"/>
      <c r="I44" s="102"/>
      <c r="J44" s="102"/>
      <c r="K44" s="83"/>
      <c r="L44" s="102"/>
      <c r="M44" s="102" t="s">
        <v>476</v>
      </c>
      <c r="N44" s="102"/>
      <c r="O44" s="102"/>
      <c r="P44" s="83"/>
      <c r="Q44" s="102"/>
      <c r="R44" s="102"/>
      <c r="S44" s="102"/>
      <c r="T44" s="102"/>
      <c r="U44" s="102"/>
      <c r="V44" s="102"/>
      <c r="W44" s="102"/>
      <c r="X44" s="83"/>
      <c r="Y44" s="102"/>
      <c r="Z44" s="102"/>
      <c r="AA44" s="102"/>
      <c r="AB44" s="83"/>
      <c r="AC44" s="102"/>
      <c r="AD44" s="102"/>
      <c r="AE44" s="102"/>
      <c r="AF44" s="102"/>
      <c r="AG44" s="102"/>
      <c r="AH44" s="102"/>
      <c r="AI44" s="102"/>
      <c r="AJ44" s="102"/>
      <c r="AK44" s="102"/>
      <c r="AL44" s="83"/>
      <c r="AM44" s="102"/>
      <c r="AN44" s="102"/>
      <c r="AO44" s="102"/>
    </row>
    <row r="45" spans="2:41" ht="12.95">
      <c r="B45" s="103"/>
      <c r="C45" s="79"/>
      <c r="D45" s="105"/>
      <c r="E45" s="105"/>
      <c r="F45" s="105"/>
      <c r="G45" s="105"/>
      <c r="H45" s="105"/>
      <c r="I45" s="105"/>
      <c r="J45" s="82"/>
      <c r="K45" s="105"/>
      <c r="L45" s="105"/>
      <c r="M45" s="105"/>
      <c r="N45" s="105"/>
      <c r="O45" s="105"/>
      <c r="P45" s="105"/>
      <c r="Q45" s="105"/>
      <c r="R45" s="105"/>
      <c r="S45" s="105"/>
      <c r="T45" s="105"/>
      <c r="U45" s="105"/>
      <c r="V45" s="105"/>
      <c r="W45" s="105"/>
      <c r="X45" s="105"/>
      <c r="Y45" s="105"/>
      <c r="Z45" s="105"/>
      <c r="AA45" s="105"/>
      <c r="AB45" s="105"/>
      <c r="AC45" s="105"/>
      <c r="AD45" s="105"/>
      <c r="AE45" s="105"/>
      <c r="AF45" s="105"/>
      <c r="AG45" s="105"/>
      <c r="AH45" s="105"/>
      <c r="AI45" s="105"/>
      <c r="AJ45" s="105"/>
      <c r="AK45" s="82"/>
      <c r="AL45" s="105"/>
      <c r="AM45" s="105"/>
      <c r="AN45" s="105"/>
      <c r="AO45" s="105"/>
    </row>
    <row r="46" spans="2:41" ht="12.95">
      <c r="B46" s="100" t="s">
        <v>491</v>
      </c>
      <c r="C46" s="101"/>
      <c r="D46" s="83"/>
      <c r="E46" s="102" t="s">
        <v>477</v>
      </c>
      <c r="F46" s="102"/>
      <c r="G46" s="102"/>
      <c r="H46" s="102"/>
      <c r="I46" s="102"/>
      <c r="J46" s="102"/>
      <c r="K46" s="83"/>
      <c r="L46" s="102"/>
      <c r="M46" s="102"/>
      <c r="N46" s="102"/>
      <c r="O46" s="102"/>
      <c r="P46" s="83"/>
      <c r="Q46" s="102"/>
      <c r="R46" s="102"/>
      <c r="S46" s="102"/>
      <c r="T46" s="102"/>
      <c r="U46" s="102"/>
      <c r="V46" s="102" t="s">
        <v>477</v>
      </c>
      <c r="W46" s="102"/>
      <c r="X46" s="83"/>
      <c r="Y46" s="102" t="s">
        <v>477</v>
      </c>
      <c r="Z46" s="102"/>
      <c r="AA46" s="102" t="s">
        <v>472</v>
      </c>
      <c r="AB46" s="83"/>
      <c r="AC46" s="102"/>
      <c r="AD46" s="102"/>
      <c r="AE46" s="102"/>
      <c r="AF46" s="102"/>
      <c r="AG46" s="102"/>
      <c r="AH46" s="102"/>
      <c r="AI46" s="102"/>
      <c r="AJ46" s="102"/>
      <c r="AK46" s="102"/>
      <c r="AL46" s="83"/>
      <c r="AM46" s="102"/>
      <c r="AN46" s="102"/>
      <c r="AO46" s="102"/>
    </row>
    <row r="47" spans="2:41" ht="12.95">
      <c r="B47" s="79"/>
      <c r="C47" s="79"/>
      <c r="D47" s="105"/>
      <c r="E47" s="82"/>
      <c r="F47" s="82"/>
      <c r="G47" s="82"/>
      <c r="H47" s="82"/>
      <c r="I47" s="82"/>
      <c r="J47" s="106"/>
      <c r="K47" s="105"/>
      <c r="L47" s="82"/>
      <c r="M47" s="82"/>
      <c r="N47" s="82"/>
      <c r="O47" s="82"/>
      <c r="P47" s="105"/>
      <c r="Q47" s="82"/>
      <c r="R47" s="82"/>
      <c r="S47" s="82"/>
      <c r="T47" s="82"/>
      <c r="U47" s="82"/>
      <c r="V47" s="82"/>
      <c r="W47" s="82"/>
      <c r="X47" s="105"/>
      <c r="Y47" s="82"/>
      <c r="Z47" s="82"/>
      <c r="AA47" s="82"/>
      <c r="AB47" s="105"/>
      <c r="AC47" s="82"/>
      <c r="AD47" s="82"/>
      <c r="AE47" s="82"/>
      <c r="AF47" s="82"/>
      <c r="AG47" s="82"/>
      <c r="AH47" s="82"/>
      <c r="AI47" s="82"/>
      <c r="AJ47" s="82"/>
      <c r="AK47" s="106"/>
      <c r="AL47" s="105"/>
      <c r="AM47" s="82"/>
      <c r="AN47" s="82"/>
      <c r="AO47" s="82"/>
    </row>
    <row r="48" spans="2:41" ht="12.95">
      <c r="B48" s="100" t="s">
        <v>492</v>
      </c>
      <c r="C48" s="101"/>
      <c r="D48" s="83"/>
      <c r="E48" s="102" t="s">
        <v>477</v>
      </c>
      <c r="F48" s="102"/>
      <c r="G48" s="102"/>
      <c r="H48" s="102"/>
      <c r="I48" s="102"/>
      <c r="J48" s="102"/>
      <c r="K48" s="83"/>
      <c r="L48" s="102"/>
      <c r="M48" s="102"/>
      <c r="N48" s="102"/>
      <c r="O48" s="102"/>
      <c r="P48" s="83"/>
      <c r="Q48" s="102"/>
      <c r="R48" s="102"/>
      <c r="S48" s="102"/>
      <c r="T48" s="102"/>
      <c r="U48" s="102"/>
      <c r="V48" s="102"/>
      <c r="W48" s="102"/>
      <c r="X48" s="83"/>
      <c r="Y48" s="102"/>
      <c r="Z48" s="102"/>
      <c r="AA48" s="102" t="s">
        <v>476</v>
      </c>
      <c r="AB48" s="83"/>
      <c r="AC48" s="102"/>
      <c r="AD48" s="102"/>
      <c r="AE48" s="102"/>
      <c r="AF48" s="102"/>
      <c r="AG48" s="102"/>
      <c r="AH48" s="102"/>
      <c r="AI48" s="102"/>
      <c r="AJ48" s="102"/>
      <c r="AK48" s="102"/>
      <c r="AL48" s="83"/>
      <c r="AM48" s="102"/>
      <c r="AN48" s="102"/>
      <c r="AO48" s="102"/>
    </row>
    <row r="49" spans="2:41" ht="14.1" customHeight="1">
      <c r="B49" s="79"/>
      <c r="C49" s="79"/>
      <c r="D49" s="105"/>
      <c r="E49" s="82"/>
      <c r="F49" s="82"/>
      <c r="G49" s="82"/>
      <c r="H49" s="82"/>
      <c r="I49" s="82"/>
      <c r="J49" s="106"/>
      <c r="K49" s="105"/>
      <c r="L49" s="82"/>
      <c r="M49" s="82"/>
      <c r="N49" s="82"/>
      <c r="O49" s="82"/>
      <c r="P49" s="105"/>
      <c r="Q49" s="82"/>
      <c r="R49" s="82"/>
      <c r="S49" s="82"/>
      <c r="T49" s="82"/>
      <c r="U49" s="82"/>
      <c r="V49" s="82"/>
      <c r="W49" s="82"/>
      <c r="X49" s="105"/>
      <c r="Y49" s="82"/>
      <c r="Z49" s="82"/>
      <c r="AA49" s="82"/>
      <c r="AB49" s="105"/>
      <c r="AC49" s="82"/>
      <c r="AD49" s="82"/>
      <c r="AE49" s="82"/>
      <c r="AF49" s="82"/>
      <c r="AG49" s="82"/>
      <c r="AH49" s="82"/>
      <c r="AI49" s="82"/>
      <c r="AJ49" s="82"/>
      <c r="AK49" s="106"/>
      <c r="AL49" s="105"/>
      <c r="AM49" s="82"/>
      <c r="AN49" s="82"/>
      <c r="AO49" s="82"/>
    </row>
    <row r="50" spans="2:41" ht="12.95">
      <c r="B50" s="100" t="s">
        <v>493</v>
      </c>
      <c r="C50" s="101"/>
      <c r="D50" s="83"/>
      <c r="E50" s="102" t="s">
        <v>477</v>
      </c>
      <c r="F50" s="102"/>
      <c r="G50" s="102"/>
      <c r="H50" s="102"/>
      <c r="I50" s="102"/>
      <c r="J50" s="102" t="s">
        <v>477</v>
      </c>
      <c r="K50" s="83"/>
      <c r="L50" s="102"/>
      <c r="M50" s="102"/>
      <c r="N50" s="102"/>
      <c r="O50" s="102"/>
      <c r="P50" s="83"/>
      <c r="Q50" s="102" t="s">
        <v>472</v>
      </c>
      <c r="R50" s="102" t="s">
        <v>472</v>
      </c>
      <c r="S50" s="102" t="s">
        <v>472</v>
      </c>
      <c r="T50" s="102" t="s">
        <v>472</v>
      </c>
      <c r="U50" s="102" t="s">
        <v>472</v>
      </c>
      <c r="V50" s="102" t="s">
        <v>472</v>
      </c>
      <c r="W50" s="102" t="s">
        <v>472</v>
      </c>
      <c r="X50" s="83"/>
      <c r="Y50" s="102" t="s">
        <v>494</v>
      </c>
      <c r="Z50" s="102" t="s">
        <v>494</v>
      </c>
      <c r="AA50" s="102"/>
      <c r="AB50" s="83"/>
      <c r="AC50" s="102"/>
      <c r="AD50" s="102"/>
      <c r="AE50" s="102"/>
      <c r="AF50" s="102"/>
      <c r="AG50" s="102"/>
      <c r="AH50" s="102"/>
      <c r="AI50" s="102"/>
      <c r="AJ50" s="102"/>
      <c r="AK50" s="102"/>
      <c r="AL50" s="83"/>
      <c r="AM50" s="102"/>
      <c r="AN50" s="102"/>
      <c r="AO50" s="102"/>
    </row>
    <row r="51" spans="2:41" ht="12.95">
      <c r="B51" s="107"/>
      <c r="C51" s="107"/>
      <c r="D51" s="105"/>
      <c r="E51" s="106"/>
      <c r="F51" s="106"/>
      <c r="G51" s="106"/>
      <c r="H51" s="106"/>
      <c r="I51" s="106"/>
      <c r="J51" s="82"/>
      <c r="K51" s="105"/>
      <c r="L51" s="106"/>
      <c r="M51" s="106"/>
      <c r="N51" s="106"/>
      <c r="O51" s="106"/>
      <c r="P51" s="105"/>
      <c r="Q51" s="106"/>
      <c r="R51" s="106"/>
      <c r="S51" s="106"/>
      <c r="T51" s="106"/>
      <c r="U51" s="106"/>
      <c r="V51" s="106"/>
      <c r="W51" s="106"/>
      <c r="X51" s="105"/>
      <c r="Y51" s="106"/>
      <c r="Z51" s="106"/>
      <c r="AA51" s="106"/>
      <c r="AB51" s="105"/>
      <c r="AC51" s="106"/>
      <c r="AD51" s="106"/>
      <c r="AE51" s="106"/>
      <c r="AF51" s="106"/>
      <c r="AG51" s="106"/>
      <c r="AH51" s="106"/>
      <c r="AI51" s="106"/>
      <c r="AJ51" s="106"/>
      <c r="AK51" s="82"/>
      <c r="AL51" s="105"/>
      <c r="AM51" s="106"/>
      <c r="AN51" s="106"/>
      <c r="AO51" s="106"/>
    </row>
    <row r="52" spans="2:41" ht="12.95">
      <c r="B52" s="100" t="s">
        <v>495</v>
      </c>
      <c r="C52" s="101"/>
      <c r="D52" s="83"/>
      <c r="E52" s="102" t="s">
        <v>477</v>
      </c>
      <c r="F52" s="102"/>
      <c r="G52" s="102"/>
      <c r="H52" s="102"/>
      <c r="I52" s="102"/>
      <c r="J52" s="102" t="s">
        <v>477</v>
      </c>
      <c r="K52" s="83"/>
      <c r="L52" s="102"/>
      <c r="M52" s="102"/>
      <c r="N52" s="102"/>
      <c r="O52" s="102"/>
      <c r="P52" s="83"/>
      <c r="Q52" s="102" t="s">
        <v>476</v>
      </c>
      <c r="R52" s="102" t="s">
        <v>472</v>
      </c>
      <c r="S52" s="102" t="s">
        <v>472</v>
      </c>
      <c r="T52" s="102" t="s">
        <v>472</v>
      </c>
      <c r="U52" s="102" t="s">
        <v>472</v>
      </c>
      <c r="V52" s="102" t="s">
        <v>472</v>
      </c>
      <c r="W52" s="102" t="s">
        <v>472</v>
      </c>
      <c r="X52" s="83"/>
      <c r="Y52" s="102" t="s">
        <v>494</v>
      </c>
      <c r="Z52" s="102" t="s">
        <v>494</v>
      </c>
      <c r="AA52" s="102"/>
      <c r="AB52" s="83"/>
      <c r="AC52" s="102"/>
      <c r="AD52" s="102"/>
      <c r="AE52" s="102"/>
      <c r="AF52" s="102"/>
      <c r="AG52" s="102"/>
      <c r="AH52" s="102"/>
      <c r="AI52" s="102"/>
      <c r="AJ52" s="102"/>
      <c r="AK52" s="102"/>
      <c r="AL52" s="83"/>
      <c r="AM52" s="102"/>
      <c r="AN52" s="102"/>
      <c r="AO52" s="102"/>
    </row>
    <row r="53" spans="2:41" ht="12.95">
      <c r="B53" s="107"/>
      <c r="C53" s="107"/>
      <c r="D53" s="105"/>
      <c r="E53" s="106"/>
      <c r="F53" s="106"/>
      <c r="G53" s="106"/>
      <c r="H53" s="106"/>
      <c r="I53" s="106"/>
      <c r="J53" s="82"/>
      <c r="K53" s="105"/>
      <c r="L53" s="106"/>
      <c r="M53" s="106"/>
      <c r="N53" s="106"/>
      <c r="O53" s="106"/>
      <c r="P53" s="105"/>
      <c r="Q53" s="106"/>
      <c r="R53" s="106"/>
      <c r="S53" s="106"/>
      <c r="T53" s="106"/>
      <c r="U53" s="106"/>
      <c r="V53" s="106"/>
      <c r="W53" s="106"/>
      <c r="X53" s="105"/>
      <c r="Y53" s="106"/>
      <c r="Z53" s="106"/>
      <c r="AA53" s="106"/>
      <c r="AB53" s="105"/>
      <c r="AC53" s="106"/>
      <c r="AD53" s="106"/>
      <c r="AE53" s="106"/>
      <c r="AF53" s="106"/>
      <c r="AG53" s="106"/>
      <c r="AH53" s="106"/>
      <c r="AI53" s="106"/>
      <c r="AJ53" s="106"/>
      <c r="AK53" s="82"/>
      <c r="AL53" s="105"/>
      <c r="AM53" s="106"/>
      <c r="AN53" s="106"/>
      <c r="AO53" s="106"/>
    </row>
    <row r="54" spans="2:41" ht="12.95">
      <c r="B54" s="100" t="s">
        <v>496</v>
      </c>
      <c r="C54" s="101"/>
      <c r="D54" s="83"/>
      <c r="E54" s="102" t="s">
        <v>477</v>
      </c>
      <c r="F54" s="102"/>
      <c r="G54" s="102"/>
      <c r="H54" s="102"/>
      <c r="I54" s="102"/>
      <c r="J54" s="102"/>
      <c r="K54" s="83"/>
      <c r="L54" s="102"/>
      <c r="M54" s="102"/>
      <c r="N54" s="102"/>
      <c r="O54" s="102"/>
      <c r="P54" s="83"/>
      <c r="Q54" s="102"/>
      <c r="R54" s="102"/>
      <c r="S54" s="102"/>
      <c r="T54" s="102"/>
      <c r="U54" s="102"/>
      <c r="V54" s="102"/>
      <c r="W54" s="102" t="s">
        <v>476</v>
      </c>
      <c r="X54" s="83"/>
      <c r="Y54" s="102"/>
      <c r="Z54" s="102"/>
      <c r="AA54" s="102"/>
      <c r="AB54" s="83"/>
      <c r="AC54" s="102"/>
      <c r="AD54" s="102"/>
      <c r="AE54" s="102"/>
      <c r="AF54" s="102"/>
      <c r="AG54" s="102"/>
      <c r="AH54" s="102"/>
      <c r="AI54" s="102"/>
      <c r="AJ54" s="102"/>
      <c r="AK54" s="102"/>
      <c r="AL54" s="83"/>
      <c r="AM54" s="102"/>
      <c r="AN54" s="102"/>
      <c r="AO54" s="102"/>
    </row>
    <row r="55" spans="2:41" ht="12.95">
      <c r="B55" s="107"/>
      <c r="C55" s="107"/>
      <c r="D55" s="105"/>
      <c r="E55" s="106"/>
      <c r="F55" s="106"/>
      <c r="G55" s="106"/>
      <c r="H55" s="106"/>
      <c r="I55" s="106"/>
      <c r="J55" s="82"/>
      <c r="K55" s="105"/>
      <c r="L55" s="106"/>
      <c r="M55" s="106"/>
      <c r="N55" s="106"/>
      <c r="O55" s="106"/>
      <c r="P55" s="105"/>
      <c r="Q55" s="106"/>
      <c r="R55" s="106"/>
      <c r="S55" s="106"/>
      <c r="T55" s="106"/>
      <c r="U55" s="106"/>
      <c r="V55" s="106"/>
      <c r="W55" s="106"/>
      <c r="X55" s="105"/>
      <c r="Y55" s="106"/>
      <c r="Z55" s="106"/>
      <c r="AA55" s="106"/>
      <c r="AB55" s="105"/>
      <c r="AC55" s="106"/>
      <c r="AD55" s="106"/>
      <c r="AE55" s="106"/>
      <c r="AF55" s="106"/>
      <c r="AG55" s="106"/>
      <c r="AH55" s="106"/>
      <c r="AI55" s="106"/>
      <c r="AJ55" s="106"/>
      <c r="AK55" s="82"/>
      <c r="AL55" s="105"/>
      <c r="AM55" s="106"/>
      <c r="AN55" s="106"/>
      <c r="AO55" s="106"/>
    </row>
    <row r="56" spans="2:41" ht="12.95">
      <c r="B56" s="100" t="s">
        <v>497</v>
      </c>
      <c r="C56" s="101"/>
      <c r="D56" s="83"/>
      <c r="E56" s="102" t="s">
        <v>477</v>
      </c>
      <c r="F56" s="102"/>
      <c r="G56" s="102"/>
      <c r="H56" s="102"/>
      <c r="I56" s="102"/>
      <c r="J56" s="102"/>
      <c r="K56" s="83"/>
      <c r="L56" s="102"/>
      <c r="M56" s="102"/>
      <c r="N56" s="102"/>
      <c r="O56" s="102"/>
      <c r="P56" s="83"/>
      <c r="Q56" s="102"/>
      <c r="R56" s="102"/>
      <c r="S56" s="102" t="s">
        <v>476</v>
      </c>
      <c r="T56" s="102"/>
      <c r="U56" s="102"/>
      <c r="V56" s="102" t="s">
        <v>477</v>
      </c>
      <c r="W56" s="102"/>
      <c r="X56" s="83"/>
      <c r="Y56" s="102" t="s">
        <v>477</v>
      </c>
      <c r="Z56" s="102"/>
      <c r="AA56" s="102"/>
      <c r="AB56" s="83"/>
      <c r="AC56" s="102"/>
      <c r="AD56" s="102"/>
      <c r="AE56" s="102"/>
      <c r="AF56" s="102"/>
      <c r="AG56" s="102"/>
      <c r="AH56" s="102"/>
      <c r="AI56" s="102"/>
      <c r="AJ56" s="102"/>
      <c r="AK56" s="102"/>
      <c r="AL56" s="83"/>
      <c r="AM56" s="102"/>
      <c r="AN56" s="102"/>
      <c r="AO56" s="102"/>
    </row>
    <row r="57" spans="2:41" ht="12.95">
      <c r="B57" s="79"/>
      <c r="C57" s="79"/>
      <c r="D57" s="105"/>
      <c r="E57" s="82"/>
      <c r="F57" s="82"/>
      <c r="G57" s="82"/>
      <c r="H57" s="82"/>
      <c r="I57" s="82"/>
      <c r="J57" s="82"/>
      <c r="K57" s="105"/>
      <c r="L57" s="82"/>
      <c r="M57" s="82"/>
      <c r="N57" s="82"/>
      <c r="O57" s="82"/>
      <c r="P57" s="105"/>
      <c r="Q57" s="82"/>
      <c r="R57" s="82"/>
      <c r="S57" s="82"/>
      <c r="T57" s="82"/>
      <c r="U57" s="82"/>
      <c r="V57" s="82"/>
      <c r="W57" s="82"/>
      <c r="X57" s="105"/>
      <c r="Y57" s="82"/>
      <c r="Z57" s="82"/>
      <c r="AA57" s="82"/>
      <c r="AB57" s="105"/>
      <c r="AC57" s="82"/>
      <c r="AD57" s="82"/>
      <c r="AE57" s="82"/>
      <c r="AF57" s="82"/>
      <c r="AG57" s="82"/>
      <c r="AH57" s="82"/>
      <c r="AI57" s="82"/>
      <c r="AJ57" s="82"/>
      <c r="AK57" s="82"/>
      <c r="AL57" s="105"/>
      <c r="AM57" s="82"/>
      <c r="AN57" s="82"/>
      <c r="AO57" s="82"/>
    </row>
    <row r="58" spans="2:41" ht="12.95">
      <c r="B58" s="100" t="s">
        <v>498</v>
      </c>
      <c r="C58" s="101"/>
      <c r="D58" s="83"/>
      <c r="E58" s="102" t="s">
        <v>477</v>
      </c>
      <c r="F58" s="102"/>
      <c r="G58" s="102"/>
      <c r="H58" s="102"/>
      <c r="I58" s="102"/>
      <c r="J58" s="102"/>
      <c r="K58" s="83"/>
      <c r="L58" s="102"/>
      <c r="M58" s="102"/>
      <c r="N58" s="102"/>
      <c r="O58" s="102"/>
      <c r="P58" s="83"/>
      <c r="Q58" s="102"/>
      <c r="R58" s="102"/>
      <c r="S58" s="102"/>
      <c r="T58" s="102"/>
      <c r="U58" s="102"/>
      <c r="V58" s="102"/>
      <c r="W58" s="102"/>
      <c r="X58" s="83"/>
      <c r="Y58" s="102" t="s">
        <v>476</v>
      </c>
      <c r="Z58" s="102" t="s">
        <v>476</v>
      </c>
      <c r="AA58" s="102" t="s">
        <v>476</v>
      </c>
      <c r="AB58" s="83"/>
      <c r="AC58" s="102"/>
      <c r="AD58" s="102"/>
      <c r="AE58" s="102"/>
      <c r="AF58" s="102"/>
      <c r="AG58" s="102"/>
      <c r="AH58" s="102"/>
      <c r="AI58" s="102"/>
      <c r="AJ58" s="102"/>
      <c r="AK58" s="102"/>
      <c r="AL58" s="83"/>
      <c r="AM58" s="102"/>
      <c r="AN58" s="102"/>
      <c r="AO58" s="102"/>
    </row>
    <row r="59" spans="2:41" ht="12.95">
      <c r="B59" s="79"/>
      <c r="C59" s="79"/>
      <c r="D59" s="105"/>
      <c r="E59" s="82"/>
      <c r="F59" s="82"/>
      <c r="G59" s="82"/>
      <c r="H59" s="82"/>
      <c r="I59" s="82"/>
      <c r="J59" s="82"/>
      <c r="K59" s="105"/>
      <c r="L59" s="82"/>
      <c r="M59" s="82"/>
      <c r="N59" s="82"/>
      <c r="O59" s="82"/>
      <c r="P59" s="105"/>
      <c r="Q59" s="82"/>
      <c r="R59" s="82"/>
      <c r="S59" s="82"/>
      <c r="T59" s="82"/>
      <c r="U59" s="82"/>
      <c r="V59" s="82"/>
      <c r="W59" s="82"/>
      <c r="X59" s="105"/>
      <c r="Y59" s="82"/>
      <c r="Z59" s="82"/>
      <c r="AA59" s="82"/>
      <c r="AB59" s="105"/>
      <c r="AC59" s="82"/>
      <c r="AD59" s="82"/>
      <c r="AE59" s="82"/>
      <c r="AF59" s="82"/>
      <c r="AG59" s="82"/>
      <c r="AH59" s="82"/>
      <c r="AI59" s="82"/>
      <c r="AJ59" s="82"/>
      <c r="AK59" s="82"/>
      <c r="AL59" s="105"/>
      <c r="AM59" s="82"/>
      <c r="AN59" s="82"/>
      <c r="AO59" s="82"/>
    </row>
    <row r="60" spans="2:41" ht="12.95">
      <c r="B60" s="100" t="s">
        <v>499</v>
      </c>
      <c r="C60" s="101"/>
      <c r="D60" s="83"/>
      <c r="E60" s="102" t="s">
        <v>477</v>
      </c>
      <c r="F60" s="102"/>
      <c r="G60" s="102"/>
      <c r="H60" s="102"/>
      <c r="I60" s="102"/>
      <c r="J60" s="102"/>
      <c r="K60" s="83"/>
      <c r="L60" s="102" t="s">
        <v>477</v>
      </c>
      <c r="M60" s="102"/>
      <c r="N60" s="102" t="s">
        <v>477</v>
      </c>
      <c r="O60" s="102"/>
      <c r="P60" s="83"/>
      <c r="Q60" s="102"/>
      <c r="R60" s="102"/>
      <c r="S60" s="102" t="s">
        <v>477</v>
      </c>
      <c r="T60" s="102"/>
      <c r="U60" s="102"/>
      <c r="V60" s="102" t="s">
        <v>477</v>
      </c>
      <c r="W60" s="102"/>
      <c r="X60" s="83"/>
      <c r="Y60" s="102" t="s">
        <v>477</v>
      </c>
      <c r="Z60" s="102"/>
      <c r="AA60" s="102"/>
      <c r="AB60" s="83"/>
      <c r="AC60" s="102"/>
      <c r="AD60" s="102"/>
      <c r="AE60" s="102"/>
      <c r="AF60" s="102"/>
      <c r="AG60" s="102"/>
      <c r="AH60" s="102"/>
      <c r="AI60" s="102"/>
      <c r="AJ60" s="102"/>
      <c r="AK60" s="102"/>
      <c r="AL60" s="83"/>
      <c r="AM60" s="102"/>
      <c r="AN60" s="102"/>
      <c r="AO60" s="102"/>
    </row>
    <row r="61" spans="2:41" ht="12.95">
      <c r="B61" s="79"/>
      <c r="C61" s="79"/>
      <c r="D61" s="105"/>
      <c r="E61" s="82"/>
      <c r="F61" s="82"/>
      <c r="G61" s="82"/>
      <c r="H61" s="82"/>
      <c r="I61" s="82"/>
      <c r="J61" s="105"/>
      <c r="K61" s="105"/>
      <c r="L61" s="82"/>
      <c r="M61" s="82"/>
      <c r="N61" s="82"/>
      <c r="O61" s="82"/>
      <c r="P61" s="105"/>
      <c r="Q61" s="82"/>
      <c r="R61" s="82"/>
      <c r="S61" s="82"/>
      <c r="T61" s="82"/>
      <c r="U61" s="82"/>
      <c r="V61" s="82"/>
      <c r="W61" s="82"/>
      <c r="X61" s="105"/>
      <c r="Y61" s="82"/>
      <c r="Z61" s="82"/>
      <c r="AA61" s="82"/>
      <c r="AB61" s="105"/>
      <c r="AC61" s="82"/>
      <c r="AD61" s="82"/>
      <c r="AE61" s="82"/>
      <c r="AF61" s="82"/>
      <c r="AG61" s="82"/>
      <c r="AH61" s="82"/>
      <c r="AI61" s="82"/>
      <c r="AJ61" s="82"/>
      <c r="AK61" s="105"/>
      <c r="AL61" s="105"/>
      <c r="AM61" s="82"/>
      <c r="AN61" s="82"/>
      <c r="AO61" s="82"/>
    </row>
    <row r="62" spans="2:41" ht="12.95">
      <c r="B62" s="100" t="s">
        <v>500</v>
      </c>
      <c r="C62" s="101"/>
      <c r="D62" s="83"/>
      <c r="E62" s="102" t="s">
        <v>477</v>
      </c>
      <c r="F62" s="102"/>
      <c r="G62" s="102"/>
      <c r="H62" s="102"/>
      <c r="I62" s="102"/>
      <c r="J62" s="102" t="s">
        <v>477</v>
      </c>
      <c r="K62" s="83"/>
      <c r="L62" s="102" t="s">
        <v>477</v>
      </c>
      <c r="M62" s="102"/>
      <c r="N62" s="102" t="s">
        <v>477</v>
      </c>
      <c r="O62" s="102"/>
      <c r="P62" s="83"/>
      <c r="Q62" s="102"/>
      <c r="R62" s="102"/>
      <c r="S62" s="102" t="s">
        <v>477</v>
      </c>
      <c r="T62" s="102"/>
      <c r="U62" s="102"/>
      <c r="V62" s="102" t="s">
        <v>477</v>
      </c>
      <c r="W62" s="102"/>
      <c r="X62" s="83"/>
      <c r="Y62" s="102" t="s">
        <v>477</v>
      </c>
      <c r="Z62" s="102"/>
      <c r="AA62" s="102"/>
      <c r="AB62" s="83"/>
      <c r="AC62" s="102"/>
      <c r="AD62" s="102"/>
      <c r="AE62" s="102"/>
      <c r="AF62" s="102"/>
      <c r="AG62" s="102"/>
      <c r="AH62" s="102"/>
      <c r="AI62" s="102"/>
      <c r="AJ62" s="102"/>
      <c r="AK62" s="102"/>
      <c r="AL62" s="83"/>
      <c r="AM62" s="102"/>
      <c r="AN62" s="102"/>
      <c r="AO62" s="102"/>
    </row>
    <row r="63" spans="2:41" ht="12.95">
      <c r="B63" s="79"/>
      <c r="C63" s="79"/>
      <c r="D63" s="105"/>
      <c r="E63" s="82"/>
      <c r="F63" s="82"/>
      <c r="G63" s="82"/>
      <c r="H63" s="82"/>
      <c r="I63" s="82"/>
      <c r="J63" s="82"/>
      <c r="K63" s="105"/>
      <c r="L63" s="82"/>
      <c r="M63" s="82"/>
      <c r="N63" s="82"/>
      <c r="O63" s="82"/>
      <c r="P63" s="105"/>
      <c r="Q63" s="82"/>
      <c r="R63" s="82"/>
      <c r="S63" s="82"/>
      <c r="T63" s="82"/>
      <c r="U63" s="82"/>
      <c r="V63" s="82"/>
      <c r="W63" s="82"/>
      <c r="X63" s="105"/>
      <c r="Y63" s="82"/>
      <c r="Z63" s="82"/>
      <c r="AA63" s="82"/>
      <c r="AB63" s="105"/>
      <c r="AC63" s="82"/>
      <c r="AD63" s="82"/>
      <c r="AE63" s="82"/>
      <c r="AF63" s="82"/>
      <c r="AG63" s="82"/>
      <c r="AH63" s="82"/>
      <c r="AI63" s="82"/>
      <c r="AJ63" s="82"/>
      <c r="AK63" s="82"/>
      <c r="AL63" s="105"/>
      <c r="AM63" s="82"/>
      <c r="AN63" s="82"/>
      <c r="AO63" s="82"/>
    </row>
    <row r="64" spans="2:41" ht="12.95">
      <c r="B64" s="100" t="s">
        <v>501</v>
      </c>
      <c r="C64" s="101"/>
      <c r="D64" s="83"/>
      <c r="E64" s="102" t="s">
        <v>477</v>
      </c>
      <c r="F64" s="102"/>
      <c r="G64" s="102"/>
      <c r="H64" s="102"/>
      <c r="I64" s="102"/>
      <c r="J64" s="102" t="s">
        <v>477</v>
      </c>
      <c r="K64" s="83"/>
      <c r="L64" s="102" t="s">
        <v>477</v>
      </c>
      <c r="M64" s="102"/>
      <c r="N64" s="102" t="s">
        <v>477</v>
      </c>
      <c r="O64" s="102" t="s">
        <v>477</v>
      </c>
      <c r="P64" s="83"/>
      <c r="Q64" s="102" t="s">
        <v>476</v>
      </c>
      <c r="R64" s="102" t="s">
        <v>476</v>
      </c>
      <c r="S64" s="102" t="s">
        <v>477</v>
      </c>
      <c r="T64" s="102" t="s">
        <v>477</v>
      </c>
      <c r="U64" s="102" t="s">
        <v>477</v>
      </c>
      <c r="V64" s="102" t="s">
        <v>477</v>
      </c>
      <c r="W64" s="102"/>
      <c r="X64" s="83"/>
      <c r="Y64" s="102" t="s">
        <v>477</v>
      </c>
      <c r="Z64" s="102" t="s">
        <v>477</v>
      </c>
      <c r="AA64" s="102"/>
      <c r="AB64" s="83"/>
      <c r="AC64" s="102"/>
      <c r="AD64" s="102"/>
      <c r="AE64" s="102"/>
      <c r="AF64" s="102"/>
      <c r="AG64" s="102"/>
      <c r="AH64" s="102"/>
      <c r="AI64" s="102"/>
      <c r="AJ64" s="102"/>
      <c r="AK64" s="102"/>
      <c r="AL64" s="83"/>
      <c r="AM64" s="102"/>
      <c r="AN64" s="102"/>
      <c r="AO64" s="102"/>
    </row>
    <row r="65" spans="2:41" ht="12.95">
      <c r="B65" s="103"/>
      <c r="C65" s="79"/>
      <c r="D65" s="105"/>
      <c r="E65" s="105"/>
      <c r="F65" s="105"/>
      <c r="G65" s="105"/>
      <c r="H65" s="105"/>
      <c r="I65" s="105"/>
      <c r="J65" s="82"/>
      <c r="K65" s="105"/>
      <c r="L65" s="105"/>
      <c r="M65" s="105"/>
      <c r="N65" s="105"/>
      <c r="O65" s="105"/>
      <c r="P65" s="105"/>
      <c r="Q65" s="105"/>
      <c r="R65" s="105"/>
      <c r="S65" s="105"/>
      <c r="T65" s="105"/>
      <c r="U65" s="105"/>
      <c r="V65" s="105"/>
      <c r="W65" s="105"/>
      <c r="X65" s="105"/>
      <c r="Y65" s="105"/>
      <c r="Z65" s="105"/>
      <c r="AA65" s="105"/>
      <c r="AB65" s="105"/>
      <c r="AC65" s="105"/>
      <c r="AD65" s="105"/>
      <c r="AE65" s="105"/>
      <c r="AF65" s="105"/>
      <c r="AG65" s="105"/>
      <c r="AH65" s="105"/>
      <c r="AI65" s="105"/>
      <c r="AJ65" s="105"/>
      <c r="AK65" s="82"/>
      <c r="AL65" s="105"/>
      <c r="AM65" s="105"/>
      <c r="AN65" s="105"/>
      <c r="AO65" s="105"/>
    </row>
    <row r="66" spans="2:41" ht="12.95">
      <c r="B66" s="100" t="s">
        <v>502</v>
      </c>
      <c r="C66" s="101"/>
      <c r="D66" s="83"/>
      <c r="E66" s="102" t="s">
        <v>477</v>
      </c>
      <c r="F66" s="102"/>
      <c r="G66" s="102"/>
      <c r="H66" s="102"/>
      <c r="I66" s="102"/>
      <c r="J66" s="102"/>
      <c r="K66" s="83"/>
      <c r="L66" s="102"/>
      <c r="M66" s="102"/>
      <c r="N66" s="102"/>
      <c r="O66" s="102"/>
      <c r="P66" s="83"/>
      <c r="Q66" s="102"/>
      <c r="R66" s="102"/>
      <c r="S66" s="102"/>
      <c r="T66" s="102"/>
      <c r="U66" s="102"/>
      <c r="V66" s="102"/>
      <c r="W66" s="102" t="s">
        <v>476</v>
      </c>
      <c r="X66" s="83"/>
      <c r="Y66" s="102"/>
      <c r="Z66" s="102"/>
      <c r="AA66" s="102"/>
      <c r="AB66" s="83"/>
      <c r="AC66" s="102"/>
      <c r="AD66" s="102"/>
      <c r="AE66" s="102"/>
      <c r="AF66" s="102"/>
      <c r="AG66" s="102"/>
      <c r="AH66" s="102"/>
      <c r="AI66" s="102"/>
      <c r="AJ66" s="102"/>
      <c r="AK66" s="102"/>
      <c r="AL66" s="83"/>
      <c r="AM66" s="102"/>
      <c r="AN66" s="102"/>
      <c r="AO66" s="102"/>
    </row>
    <row r="67" spans="2:41" ht="12.95">
      <c r="B67" s="103"/>
      <c r="C67" s="79"/>
      <c r="D67" s="105"/>
      <c r="E67" s="105"/>
      <c r="F67" s="105"/>
      <c r="G67" s="105"/>
      <c r="H67" s="105"/>
      <c r="I67" s="105"/>
      <c r="J67" s="82"/>
      <c r="K67" s="105"/>
      <c r="L67" s="105"/>
      <c r="M67" s="105"/>
      <c r="N67" s="105"/>
      <c r="O67" s="105"/>
      <c r="P67" s="105"/>
      <c r="Q67" s="105"/>
      <c r="R67" s="105"/>
      <c r="S67" s="105"/>
      <c r="T67" s="105"/>
      <c r="U67" s="105"/>
      <c r="V67" s="105"/>
      <c r="W67" s="105"/>
      <c r="X67" s="105"/>
      <c r="Y67" s="105"/>
      <c r="Z67" s="105"/>
      <c r="AA67" s="105"/>
      <c r="AB67" s="105"/>
      <c r="AC67" s="105"/>
      <c r="AD67" s="105"/>
      <c r="AE67" s="105"/>
      <c r="AF67" s="105"/>
      <c r="AG67" s="105"/>
      <c r="AH67" s="105"/>
      <c r="AI67" s="105"/>
      <c r="AJ67" s="105"/>
      <c r="AK67" s="82"/>
      <c r="AL67" s="105"/>
      <c r="AM67" s="105"/>
      <c r="AN67" s="105"/>
      <c r="AO67" s="105"/>
    </row>
    <row r="68" spans="2:41" ht="12.95">
      <c r="B68" s="100" t="s">
        <v>503</v>
      </c>
      <c r="C68" s="101"/>
      <c r="D68" s="83"/>
      <c r="E68" s="102" t="s">
        <v>477</v>
      </c>
      <c r="F68" s="102"/>
      <c r="G68" s="102"/>
      <c r="H68" s="102"/>
      <c r="I68" s="102"/>
      <c r="J68" s="102"/>
      <c r="K68" s="83"/>
      <c r="L68" s="102"/>
      <c r="M68" s="102"/>
      <c r="N68" s="102"/>
      <c r="O68" s="102"/>
      <c r="P68" s="83"/>
      <c r="Q68" s="102"/>
      <c r="R68" s="102"/>
      <c r="S68" s="102"/>
      <c r="T68" s="102"/>
      <c r="U68" s="102" t="s">
        <v>476</v>
      </c>
      <c r="V68" s="102"/>
      <c r="W68" s="102"/>
      <c r="X68" s="83"/>
      <c r="Y68" s="102"/>
      <c r="Z68" s="102"/>
      <c r="AA68" s="102"/>
      <c r="AB68" s="83"/>
      <c r="AC68" s="102"/>
      <c r="AD68" s="102"/>
      <c r="AE68" s="102"/>
      <c r="AF68" s="102" t="s">
        <v>473</v>
      </c>
      <c r="AG68" s="102" t="s">
        <v>473</v>
      </c>
      <c r="AH68" s="102" t="s">
        <v>473</v>
      </c>
      <c r="AI68" s="102"/>
      <c r="AJ68" s="102" t="s">
        <v>473</v>
      </c>
      <c r="AK68" s="102"/>
      <c r="AL68" s="83"/>
      <c r="AM68" s="102"/>
      <c r="AN68" s="102"/>
      <c r="AO68" s="102"/>
    </row>
    <row r="69" spans="2:41" ht="12.95">
      <c r="B69" s="79"/>
      <c r="C69" s="79"/>
      <c r="D69" s="105"/>
      <c r="E69" s="82"/>
      <c r="F69" s="82"/>
      <c r="G69" s="82"/>
      <c r="H69" s="82"/>
      <c r="I69" s="82"/>
      <c r="J69" s="82"/>
      <c r="K69" s="105"/>
      <c r="L69" s="82"/>
      <c r="M69" s="82"/>
      <c r="N69" s="82"/>
      <c r="O69" s="82"/>
      <c r="P69" s="105"/>
      <c r="Q69" s="82"/>
      <c r="R69" s="82"/>
      <c r="S69" s="82"/>
      <c r="T69" s="82"/>
      <c r="U69" s="82"/>
      <c r="V69" s="82"/>
      <c r="W69" s="82"/>
      <c r="X69" s="105"/>
      <c r="Y69" s="82"/>
      <c r="Z69" s="82"/>
      <c r="AA69" s="82"/>
      <c r="AB69" s="105"/>
      <c r="AC69" s="82"/>
      <c r="AD69" s="82"/>
      <c r="AE69" s="82"/>
      <c r="AF69" s="82"/>
      <c r="AG69" s="82"/>
      <c r="AH69" s="82"/>
      <c r="AI69" s="82"/>
      <c r="AJ69" s="82"/>
      <c r="AK69" s="82"/>
      <c r="AL69" s="105"/>
      <c r="AM69" s="82"/>
      <c r="AN69" s="82"/>
      <c r="AO69" s="82"/>
    </row>
    <row r="70" spans="2:41" ht="12.95">
      <c r="B70" s="100" t="s">
        <v>504</v>
      </c>
      <c r="C70" s="101"/>
      <c r="D70" s="83"/>
      <c r="E70" s="102" t="s">
        <v>477</v>
      </c>
      <c r="F70" s="102"/>
      <c r="G70" s="102"/>
      <c r="H70" s="102"/>
      <c r="I70" s="102"/>
      <c r="J70" s="102"/>
      <c r="K70" s="83"/>
      <c r="L70" s="102"/>
      <c r="M70" s="102"/>
      <c r="N70" s="102" t="s">
        <v>477</v>
      </c>
      <c r="O70" s="102"/>
      <c r="P70" s="83"/>
      <c r="Q70" s="102"/>
      <c r="R70" s="102"/>
      <c r="S70" s="102"/>
      <c r="T70" s="102"/>
      <c r="U70" s="102" t="s">
        <v>477</v>
      </c>
      <c r="V70" s="102"/>
      <c r="W70" s="102"/>
      <c r="X70" s="83"/>
      <c r="Y70" s="102"/>
      <c r="Z70" s="102"/>
      <c r="AA70" s="102"/>
      <c r="AB70" s="83"/>
      <c r="AC70" s="102"/>
      <c r="AD70" s="102"/>
      <c r="AE70" s="102"/>
      <c r="AF70" s="102"/>
      <c r="AG70" s="102"/>
      <c r="AH70" s="102"/>
      <c r="AI70" s="102"/>
      <c r="AJ70" s="102"/>
      <c r="AK70" s="102"/>
      <c r="AL70" s="83"/>
      <c r="AM70" s="102"/>
      <c r="AN70" s="102"/>
      <c r="AO70" s="102"/>
    </row>
    <row r="71" spans="2:41" ht="12.95">
      <c r="B71" s="79"/>
      <c r="C71" s="79"/>
      <c r="D71" s="105"/>
      <c r="E71" s="82"/>
      <c r="F71" s="82"/>
      <c r="G71" s="82"/>
      <c r="H71" s="82"/>
      <c r="I71" s="82"/>
      <c r="J71" s="82"/>
      <c r="K71" s="105"/>
      <c r="L71" s="82"/>
      <c r="M71" s="82"/>
      <c r="N71" s="82"/>
      <c r="O71" s="82"/>
      <c r="P71" s="105"/>
      <c r="Q71" s="82"/>
      <c r="R71" s="82"/>
      <c r="S71" s="82"/>
      <c r="T71" s="82"/>
      <c r="U71" s="82"/>
      <c r="V71" s="82"/>
      <c r="W71" s="82"/>
      <c r="X71" s="105"/>
      <c r="Y71" s="82"/>
      <c r="Z71" s="82"/>
      <c r="AA71" s="82"/>
      <c r="AB71" s="105"/>
      <c r="AC71" s="82"/>
      <c r="AD71" s="82"/>
      <c r="AE71" s="82"/>
      <c r="AF71" s="82"/>
      <c r="AG71" s="82"/>
      <c r="AH71" s="82"/>
      <c r="AI71" s="82"/>
      <c r="AJ71" s="82"/>
      <c r="AK71" s="82"/>
      <c r="AL71" s="105"/>
      <c r="AM71" s="82"/>
      <c r="AN71" s="82"/>
      <c r="AO71" s="82"/>
    </row>
    <row r="72" spans="2:41" ht="12.95">
      <c r="B72" s="100" t="s">
        <v>505</v>
      </c>
      <c r="C72" s="101"/>
      <c r="D72" s="83"/>
      <c r="E72" s="102" t="s">
        <v>477</v>
      </c>
      <c r="F72" s="102"/>
      <c r="G72" s="102"/>
      <c r="H72" s="102"/>
      <c r="I72" s="102"/>
      <c r="J72" s="102"/>
      <c r="K72" s="83"/>
      <c r="L72" s="102"/>
      <c r="M72" s="102"/>
      <c r="N72" s="102"/>
      <c r="O72" s="102"/>
      <c r="P72" s="83"/>
      <c r="Q72" s="102"/>
      <c r="R72" s="102"/>
      <c r="S72" s="102"/>
      <c r="T72" s="102"/>
      <c r="U72" s="102" t="s">
        <v>477</v>
      </c>
      <c r="V72" s="102"/>
      <c r="W72" s="102"/>
      <c r="X72" s="83"/>
      <c r="Y72" s="102"/>
      <c r="Z72" s="102"/>
      <c r="AA72" s="102"/>
      <c r="AB72" s="83"/>
      <c r="AC72" s="102"/>
      <c r="AD72" s="102"/>
      <c r="AE72" s="102"/>
      <c r="AF72" s="102"/>
      <c r="AG72" s="102"/>
      <c r="AH72" s="102"/>
      <c r="AI72" s="102"/>
      <c r="AJ72" s="102"/>
      <c r="AK72" s="102"/>
      <c r="AL72" s="83"/>
      <c r="AM72" s="102"/>
      <c r="AN72" s="102"/>
      <c r="AO72" s="102"/>
    </row>
    <row r="73" spans="2:41" ht="12.95">
      <c r="B73" s="79"/>
      <c r="C73" s="79"/>
      <c r="D73" s="105"/>
      <c r="E73" s="82"/>
      <c r="F73" s="82"/>
      <c r="G73" s="82"/>
      <c r="H73" s="82"/>
      <c r="I73" s="82"/>
      <c r="J73" s="82"/>
      <c r="K73" s="82"/>
      <c r="L73" s="82"/>
      <c r="M73" s="82"/>
      <c r="N73" s="82"/>
      <c r="O73" s="82"/>
      <c r="P73" s="105"/>
      <c r="Q73" s="82"/>
      <c r="R73" s="82"/>
      <c r="S73" s="82"/>
      <c r="T73" s="82"/>
      <c r="U73" s="82"/>
      <c r="V73" s="82"/>
      <c r="W73" s="82"/>
      <c r="X73" s="105"/>
      <c r="Y73" s="82"/>
      <c r="Z73" s="82"/>
      <c r="AA73" s="82"/>
      <c r="AB73" s="105"/>
      <c r="AC73" s="82"/>
      <c r="AD73" s="82"/>
      <c r="AE73" s="82"/>
      <c r="AF73" s="82"/>
      <c r="AG73" s="82"/>
      <c r="AH73" s="82"/>
      <c r="AI73" s="82"/>
      <c r="AJ73" s="82"/>
      <c r="AK73" s="82"/>
      <c r="AL73" s="105"/>
      <c r="AM73" s="82"/>
      <c r="AN73" s="82"/>
      <c r="AO73" s="82"/>
    </row>
    <row r="74" spans="2:41" s="84" customFormat="1" ht="12.95">
      <c r="B74" s="100" t="s">
        <v>506</v>
      </c>
      <c r="C74" s="101"/>
      <c r="D74" s="83"/>
      <c r="E74" s="102" t="s">
        <v>477</v>
      </c>
      <c r="F74" s="102"/>
      <c r="G74" s="102"/>
      <c r="H74" s="102"/>
      <c r="I74" s="102"/>
      <c r="J74" s="102" t="s">
        <v>477</v>
      </c>
      <c r="K74" s="83"/>
      <c r="L74" s="102" t="s">
        <v>477</v>
      </c>
      <c r="M74" s="102"/>
      <c r="N74" s="102"/>
      <c r="O74" s="102"/>
      <c r="P74" s="83"/>
      <c r="Q74" s="102" t="s">
        <v>477</v>
      </c>
      <c r="R74" s="102" t="s">
        <v>477</v>
      </c>
      <c r="S74" s="102"/>
      <c r="T74" s="102"/>
      <c r="U74" s="102" t="s">
        <v>477</v>
      </c>
      <c r="V74" s="102" t="s">
        <v>477</v>
      </c>
      <c r="W74" s="102"/>
      <c r="X74" s="83"/>
      <c r="Y74" s="102" t="s">
        <v>477</v>
      </c>
      <c r="Z74" s="102"/>
      <c r="AA74" s="102"/>
      <c r="AB74" s="83"/>
      <c r="AC74" s="102" t="s">
        <v>477</v>
      </c>
      <c r="AD74" s="102" t="s">
        <v>477</v>
      </c>
      <c r="AE74" s="102" t="s">
        <v>477</v>
      </c>
      <c r="AF74" s="102"/>
      <c r="AG74" s="102"/>
      <c r="AH74" s="102"/>
      <c r="AI74" s="102"/>
      <c r="AJ74" s="102"/>
      <c r="AK74" s="102"/>
      <c r="AL74" s="83"/>
      <c r="AM74" s="102"/>
      <c r="AN74" s="102"/>
      <c r="AO74" s="102"/>
    </row>
    <row r="75" spans="2:41" ht="12.95">
      <c r="B75" s="79"/>
      <c r="C75" s="79"/>
      <c r="D75" s="105"/>
      <c r="E75" s="82"/>
      <c r="F75" s="82"/>
      <c r="G75" s="82"/>
      <c r="H75" s="82"/>
      <c r="I75" s="82"/>
      <c r="J75" s="82"/>
      <c r="K75" s="105"/>
      <c r="L75" s="82"/>
      <c r="M75" s="82"/>
      <c r="N75" s="82"/>
      <c r="O75" s="82"/>
      <c r="P75" s="105"/>
      <c r="Q75" s="82"/>
      <c r="R75" s="82"/>
      <c r="S75" s="82"/>
      <c r="T75" s="82"/>
      <c r="U75" s="82"/>
      <c r="V75" s="82"/>
      <c r="W75" s="82"/>
      <c r="X75" s="105"/>
      <c r="Y75" s="82"/>
      <c r="Z75" s="82"/>
      <c r="AA75" s="82"/>
      <c r="AB75" s="105"/>
      <c r="AC75" s="82"/>
      <c r="AD75" s="82"/>
      <c r="AE75" s="82"/>
      <c r="AF75" s="82"/>
      <c r="AG75" s="82"/>
      <c r="AH75" s="82"/>
      <c r="AI75" s="82"/>
      <c r="AJ75" s="82"/>
      <c r="AK75" s="82"/>
      <c r="AL75" s="105"/>
      <c r="AM75" s="82"/>
      <c r="AN75" s="82"/>
      <c r="AO75" s="82"/>
    </row>
    <row r="76" spans="2:41" ht="12.95">
      <c r="B76" s="100" t="s">
        <v>507</v>
      </c>
      <c r="C76" s="101"/>
      <c r="D76" s="83"/>
      <c r="E76" s="102" t="s">
        <v>477</v>
      </c>
      <c r="F76" s="102"/>
      <c r="G76" s="102"/>
      <c r="H76" s="102"/>
      <c r="I76" s="102"/>
      <c r="J76" s="102"/>
      <c r="K76" s="83"/>
      <c r="L76" s="102"/>
      <c r="M76" s="102"/>
      <c r="N76" s="102"/>
      <c r="O76" s="102"/>
      <c r="P76" s="83"/>
      <c r="Q76" s="102"/>
      <c r="R76" s="102"/>
      <c r="S76" s="102"/>
      <c r="T76" s="102" t="s">
        <v>476</v>
      </c>
      <c r="U76" s="102"/>
      <c r="V76" s="102"/>
      <c r="W76" s="102"/>
      <c r="X76" s="83"/>
      <c r="Y76" s="102"/>
      <c r="Z76" s="102"/>
      <c r="AA76" s="102"/>
      <c r="AB76" s="83"/>
      <c r="AC76" s="102"/>
      <c r="AD76" s="102"/>
      <c r="AE76" s="102"/>
      <c r="AF76" s="102"/>
      <c r="AG76" s="102"/>
      <c r="AH76" s="102"/>
      <c r="AI76" s="102"/>
      <c r="AJ76" s="102"/>
      <c r="AK76" s="102"/>
      <c r="AL76" s="83"/>
      <c r="AM76" s="102"/>
      <c r="AN76" s="102"/>
      <c r="AO76" s="102"/>
    </row>
    <row r="77" spans="2:41" ht="12.95">
      <c r="B77" s="79"/>
      <c r="C77" s="79"/>
      <c r="D77" s="105"/>
      <c r="E77" s="82"/>
      <c r="F77" s="82"/>
      <c r="G77" s="82"/>
      <c r="H77" s="82"/>
      <c r="I77" s="82"/>
      <c r="J77" s="82"/>
      <c r="K77" s="105"/>
      <c r="L77" s="82"/>
      <c r="M77" s="82"/>
      <c r="N77" s="82"/>
      <c r="O77" s="82"/>
      <c r="P77" s="105"/>
      <c r="Q77" s="82"/>
      <c r="R77" s="82"/>
      <c r="S77" s="82"/>
      <c r="T77" s="82"/>
      <c r="U77" s="82"/>
      <c r="V77" s="82"/>
      <c r="W77" s="82"/>
      <c r="X77" s="105"/>
      <c r="Y77" s="82"/>
      <c r="Z77" s="82"/>
      <c r="AA77" s="82"/>
      <c r="AB77" s="105"/>
      <c r="AC77" s="82"/>
      <c r="AD77" s="82"/>
      <c r="AE77" s="82"/>
      <c r="AF77" s="82"/>
      <c r="AG77" s="82"/>
      <c r="AH77" s="82"/>
      <c r="AI77" s="82"/>
      <c r="AJ77" s="82"/>
      <c r="AK77" s="82"/>
      <c r="AL77" s="105"/>
      <c r="AM77" s="82"/>
      <c r="AN77" s="82"/>
      <c r="AO77" s="82"/>
    </row>
    <row r="78" spans="2:41" ht="12.95">
      <c r="B78" s="100" t="s">
        <v>508</v>
      </c>
      <c r="C78" s="101"/>
      <c r="D78" s="83"/>
      <c r="E78" s="102" t="s">
        <v>477</v>
      </c>
      <c r="F78" s="102"/>
      <c r="G78" s="102"/>
      <c r="H78" s="102"/>
      <c r="I78" s="102"/>
      <c r="J78" s="102"/>
      <c r="K78" s="83"/>
      <c r="L78" s="102" t="s">
        <v>477</v>
      </c>
      <c r="M78" s="102"/>
      <c r="N78" s="102"/>
      <c r="O78" s="102"/>
      <c r="P78" s="83"/>
      <c r="Q78" s="102"/>
      <c r="R78" s="102"/>
      <c r="S78" s="102"/>
      <c r="T78" s="102" t="s">
        <v>477</v>
      </c>
      <c r="U78" s="102"/>
      <c r="V78" s="102"/>
      <c r="W78" s="102"/>
      <c r="X78" s="83"/>
      <c r="Y78" s="102"/>
      <c r="Z78" s="102"/>
      <c r="AA78" s="102"/>
      <c r="AB78" s="83"/>
      <c r="AC78" s="102"/>
      <c r="AD78" s="102"/>
      <c r="AE78" s="102"/>
      <c r="AF78" s="102"/>
      <c r="AG78" s="102"/>
      <c r="AH78" s="102"/>
      <c r="AI78" s="102"/>
      <c r="AJ78" s="102"/>
      <c r="AK78" s="102"/>
      <c r="AL78" s="83"/>
      <c r="AM78" s="102"/>
      <c r="AN78" s="102"/>
      <c r="AO78" s="102"/>
    </row>
    <row r="79" spans="2:41" ht="12.95">
      <c r="B79" s="79"/>
      <c r="C79" s="79"/>
      <c r="D79" s="105"/>
      <c r="E79" s="82"/>
      <c r="F79" s="82"/>
      <c r="G79" s="82"/>
      <c r="H79" s="82"/>
      <c r="I79" s="82"/>
      <c r="J79" s="82"/>
      <c r="K79" s="105"/>
      <c r="L79" s="82"/>
      <c r="M79" s="82"/>
      <c r="N79" s="82"/>
      <c r="O79" s="82"/>
      <c r="P79" s="105"/>
      <c r="Q79" s="82"/>
      <c r="R79" s="82"/>
      <c r="S79" s="82"/>
      <c r="T79" s="82"/>
      <c r="U79" s="82"/>
      <c r="V79" s="82"/>
      <c r="W79" s="82"/>
      <c r="X79" s="105"/>
      <c r="Y79" s="82"/>
      <c r="Z79" s="82"/>
      <c r="AA79" s="82"/>
      <c r="AB79" s="105"/>
      <c r="AC79" s="82"/>
      <c r="AD79" s="82"/>
      <c r="AE79" s="82"/>
      <c r="AF79" s="82"/>
      <c r="AG79" s="82"/>
      <c r="AH79" s="82"/>
      <c r="AI79" s="82"/>
      <c r="AJ79" s="82"/>
      <c r="AK79" s="82"/>
      <c r="AL79" s="105"/>
      <c r="AM79" s="82"/>
      <c r="AN79" s="82"/>
      <c r="AO79" s="82"/>
    </row>
    <row r="80" spans="2:41" ht="12.95">
      <c r="B80" s="100" t="s">
        <v>509</v>
      </c>
      <c r="C80" s="101"/>
      <c r="D80" s="83"/>
      <c r="E80" s="102" t="s">
        <v>477</v>
      </c>
      <c r="F80" s="102"/>
      <c r="G80" s="102"/>
      <c r="H80" s="102"/>
      <c r="I80" s="102"/>
      <c r="J80" s="102"/>
      <c r="K80" s="83"/>
      <c r="L80" s="102"/>
      <c r="M80" s="102"/>
      <c r="N80" s="102"/>
      <c r="O80" s="102"/>
      <c r="P80" s="83"/>
      <c r="Q80" s="102"/>
      <c r="R80" s="102"/>
      <c r="S80" s="102"/>
      <c r="T80" s="102" t="s">
        <v>477</v>
      </c>
      <c r="U80" s="102"/>
      <c r="V80" s="102"/>
      <c r="W80" s="102"/>
      <c r="X80" s="83"/>
      <c r="Y80" s="102"/>
      <c r="Z80" s="102"/>
      <c r="AA80" s="102"/>
      <c r="AB80" s="83"/>
      <c r="AC80" s="102"/>
      <c r="AD80" s="102"/>
      <c r="AE80" s="102"/>
      <c r="AF80" s="102"/>
      <c r="AG80" s="102"/>
      <c r="AH80" s="102"/>
      <c r="AI80" s="102"/>
      <c r="AJ80" s="102"/>
      <c r="AK80" s="102"/>
      <c r="AL80" s="83"/>
      <c r="AM80" s="102"/>
      <c r="AN80" s="102"/>
      <c r="AO80" s="102"/>
    </row>
    <row r="81" spans="2:41" ht="12.95">
      <c r="B81" s="79"/>
      <c r="C81" s="79"/>
      <c r="D81" s="105"/>
      <c r="E81" s="82"/>
      <c r="F81" s="82"/>
      <c r="G81" s="82"/>
      <c r="H81" s="82"/>
      <c r="I81" s="82"/>
      <c r="J81" s="82"/>
      <c r="K81" s="82"/>
      <c r="L81" s="82"/>
      <c r="M81" s="82"/>
      <c r="N81" s="82"/>
      <c r="O81" s="82"/>
      <c r="P81" s="105"/>
      <c r="Q81" s="82"/>
      <c r="R81" s="82"/>
      <c r="S81" s="82"/>
      <c r="T81" s="82"/>
      <c r="U81" s="82"/>
      <c r="V81" s="82"/>
      <c r="W81" s="82"/>
      <c r="X81" s="105"/>
      <c r="Y81" s="82"/>
      <c r="Z81" s="82"/>
      <c r="AA81" s="82"/>
      <c r="AB81" s="105"/>
      <c r="AC81" s="82"/>
      <c r="AD81" s="82"/>
      <c r="AE81" s="82"/>
      <c r="AF81" s="82"/>
      <c r="AG81" s="82"/>
      <c r="AH81" s="82"/>
      <c r="AI81" s="82"/>
      <c r="AJ81" s="82"/>
      <c r="AK81" s="82"/>
      <c r="AL81" s="105"/>
      <c r="AM81" s="82"/>
      <c r="AN81" s="82"/>
      <c r="AO81" s="82"/>
    </row>
    <row r="82" spans="2:41" s="84" customFormat="1" ht="12.95">
      <c r="B82" s="100" t="s">
        <v>510</v>
      </c>
      <c r="C82" s="101"/>
      <c r="D82" s="83"/>
      <c r="E82" s="102" t="s">
        <v>477</v>
      </c>
      <c r="F82" s="102"/>
      <c r="G82" s="102"/>
      <c r="H82" s="102"/>
      <c r="I82" s="102"/>
      <c r="J82" s="102" t="s">
        <v>477</v>
      </c>
      <c r="K82" s="83"/>
      <c r="L82" s="102" t="s">
        <v>477</v>
      </c>
      <c r="M82" s="102"/>
      <c r="N82" s="102"/>
      <c r="O82" s="102"/>
      <c r="P82" s="83"/>
      <c r="Q82" s="102" t="s">
        <v>477</v>
      </c>
      <c r="R82" s="102" t="s">
        <v>477</v>
      </c>
      <c r="S82" s="102"/>
      <c r="T82" s="102" t="s">
        <v>477</v>
      </c>
      <c r="U82" s="102"/>
      <c r="V82" s="102"/>
      <c r="W82" s="102"/>
      <c r="X82" s="83"/>
      <c r="Y82" s="102"/>
      <c r="Z82" s="102"/>
      <c r="AA82" s="102"/>
      <c r="AB82" s="83"/>
      <c r="AC82" s="102"/>
      <c r="AD82" s="102"/>
      <c r="AE82" s="102"/>
      <c r="AF82" s="102"/>
      <c r="AG82" s="102"/>
      <c r="AH82" s="102"/>
      <c r="AI82" s="102"/>
      <c r="AJ82" s="102"/>
      <c r="AK82" s="102"/>
      <c r="AL82" s="83"/>
      <c r="AM82" s="102"/>
      <c r="AN82" s="102"/>
      <c r="AO82" s="102"/>
    </row>
    <row r="83" spans="2:41" ht="12.95">
      <c r="B83" s="79"/>
      <c r="C83" s="79"/>
      <c r="D83" s="105"/>
      <c r="E83" s="82"/>
      <c r="F83" s="82"/>
      <c r="G83" s="82"/>
      <c r="H83" s="82"/>
      <c r="I83" s="82"/>
      <c r="J83" s="82"/>
      <c r="K83" s="105"/>
      <c r="L83" s="82"/>
      <c r="M83" s="82"/>
      <c r="N83" s="82"/>
      <c r="O83" s="82"/>
      <c r="P83" s="105"/>
      <c r="Q83" s="82"/>
      <c r="R83" s="82"/>
      <c r="S83" s="82"/>
      <c r="T83" s="82"/>
      <c r="U83" s="82"/>
      <c r="V83" s="82"/>
      <c r="W83" s="82"/>
      <c r="X83" s="105"/>
      <c r="Y83" s="82"/>
      <c r="Z83" s="82"/>
      <c r="AA83" s="82"/>
      <c r="AB83" s="105"/>
      <c r="AC83" s="82"/>
      <c r="AD83" s="82"/>
      <c r="AE83" s="82"/>
      <c r="AF83" s="82"/>
      <c r="AG83" s="82"/>
      <c r="AH83" s="82"/>
      <c r="AI83" s="82"/>
      <c r="AJ83" s="82"/>
      <c r="AK83" s="82"/>
      <c r="AL83" s="105"/>
      <c r="AM83" s="82"/>
      <c r="AN83" s="82"/>
      <c r="AO83" s="82"/>
    </row>
    <row r="84" spans="2:41" ht="12.95">
      <c r="B84" s="100" t="s">
        <v>511</v>
      </c>
      <c r="C84" s="101"/>
      <c r="D84" s="83"/>
      <c r="E84" s="102" t="s">
        <v>477</v>
      </c>
      <c r="F84" s="102"/>
      <c r="G84" s="102"/>
      <c r="H84" s="102"/>
      <c r="I84" s="102"/>
      <c r="J84" s="102" t="s">
        <v>477</v>
      </c>
      <c r="K84" s="83"/>
      <c r="L84" s="102"/>
      <c r="M84" s="102"/>
      <c r="N84" s="102"/>
      <c r="O84" s="102"/>
      <c r="P84" s="83"/>
      <c r="Q84" s="102"/>
      <c r="R84" s="102"/>
      <c r="S84" s="102"/>
      <c r="T84" s="102"/>
      <c r="U84" s="102"/>
      <c r="V84" s="102" t="s">
        <v>476</v>
      </c>
      <c r="W84" s="102"/>
      <c r="X84" s="83"/>
      <c r="Y84" s="102"/>
      <c r="Z84" s="102" t="s">
        <v>476</v>
      </c>
      <c r="AA84" s="102"/>
      <c r="AB84" s="83"/>
      <c r="AC84" s="102"/>
      <c r="AD84" s="102"/>
      <c r="AE84" s="102"/>
      <c r="AF84" s="102" t="s">
        <v>473</v>
      </c>
      <c r="AG84" s="102" t="s">
        <v>473</v>
      </c>
      <c r="AH84" s="102" t="s">
        <v>473</v>
      </c>
      <c r="AI84" s="102"/>
      <c r="AJ84" s="102" t="s">
        <v>473</v>
      </c>
      <c r="AK84" s="102"/>
      <c r="AL84" s="83"/>
      <c r="AM84" s="102"/>
      <c r="AN84" s="102"/>
      <c r="AO84" s="102"/>
    </row>
    <row r="85" spans="2:41" ht="12.95">
      <c r="B85" s="79"/>
      <c r="C85" s="79"/>
      <c r="D85" s="105"/>
      <c r="E85" s="82"/>
      <c r="F85" s="82"/>
      <c r="G85" s="82"/>
      <c r="H85" s="82"/>
      <c r="I85" s="82"/>
      <c r="J85" s="82"/>
      <c r="K85" s="105"/>
      <c r="L85" s="82"/>
      <c r="M85" s="82"/>
      <c r="N85" s="82"/>
      <c r="O85" s="82"/>
      <c r="P85" s="105"/>
      <c r="Q85" s="82"/>
      <c r="R85" s="82"/>
      <c r="S85" s="82"/>
      <c r="T85" s="82"/>
      <c r="U85" s="82"/>
      <c r="V85" s="82"/>
      <c r="W85" s="82"/>
      <c r="X85" s="105"/>
      <c r="Y85" s="82"/>
      <c r="Z85" s="82"/>
      <c r="AA85" s="82"/>
      <c r="AB85" s="105"/>
      <c r="AC85" s="82"/>
      <c r="AD85" s="82"/>
      <c r="AE85" s="82"/>
      <c r="AF85" s="82"/>
      <c r="AG85" s="82"/>
      <c r="AH85" s="82"/>
      <c r="AI85" s="82"/>
      <c r="AJ85" s="82"/>
      <c r="AK85" s="82"/>
      <c r="AL85" s="105"/>
      <c r="AM85" s="82"/>
      <c r="AN85" s="82"/>
      <c r="AO85" s="82"/>
    </row>
    <row r="86" spans="2:41" ht="12.95">
      <c r="B86" s="100" t="s">
        <v>512</v>
      </c>
      <c r="C86" s="101"/>
      <c r="D86" s="83"/>
      <c r="E86" s="102" t="s">
        <v>477</v>
      </c>
      <c r="F86" s="102"/>
      <c r="G86" s="102"/>
      <c r="H86" s="102"/>
      <c r="I86" s="102"/>
      <c r="J86" s="102"/>
      <c r="K86" s="83"/>
      <c r="L86" s="102"/>
      <c r="M86" s="102"/>
      <c r="N86" s="102"/>
      <c r="O86" s="102"/>
      <c r="P86" s="83"/>
      <c r="Q86" s="102"/>
      <c r="R86" s="102"/>
      <c r="S86" s="102"/>
      <c r="T86" s="102"/>
      <c r="U86" s="102"/>
      <c r="V86" s="102" t="s">
        <v>477</v>
      </c>
      <c r="W86" s="102"/>
      <c r="X86" s="83"/>
      <c r="Y86" s="102"/>
      <c r="Z86" s="102" t="s">
        <v>477</v>
      </c>
      <c r="AA86" s="102"/>
      <c r="AB86" s="83"/>
      <c r="AC86" s="102"/>
      <c r="AD86" s="102"/>
      <c r="AE86" s="102"/>
      <c r="AF86" s="102"/>
      <c r="AG86" s="102"/>
      <c r="AH86" s="102"/>
      <c r="AI86" s="102"/>
      <c r="AJ86" s="102"/>
      <c r="AK86" s="102"/>
      <c r="AL86" s="83"/>
      <c r="AM86" s="102"/>
      <c r="AN86" s="102"/>
      <c r="AO86" s="102"/>
    </row>
    <row r="87" spans="2:41" ht="12.95">
      <c r="B87" s="79"/>
      <c r="C87" s="79"/>
      <c r="D87" s="105"/>
      <c r="E87" s="82"/>
      <c r="F87" s="82"/>
      <c r="G87" s="82"/>
      <c r="H87" s="82"/>
      <c r="I87" s="82"/>
      <c r="J87" s="82"/>
      <c r="K87" s="105"/>
      <c r="L87" s="82"/>
      <c r="M87" s="82"/>
      <c r="N87" s="82"/>
      <c r="O87" s="82"/>
      <c r="P87" s="105"/>
      <c r="Q87" s="82"/>
      <c r="R87" s="82"/>
      <c r="S87" s="82"/>
      <c r="T87" s="82"/>
      <c r="U87" s="82"/>
      <c r="V87" s="82"/>
      <c r="W87" s="82"/>
      <c r="X87" s="105"/>
      <c r="Y87" s="82"/>
      <c r="Z87" s="82"/>
      <c r="AA87" s="82"/>
      <c r="AB87" s="105"/>
      <c r="AC87" s="82"/>
      <c r="AD87" s="82"/>
      <c r="AE87" s="82"/>
      <c r="AF87" s="82"/>
      <c r="AG87" s="82"/>
      <c r="AH87" s="82"/>
      <c r="AI87" s="82"/>
      <c r="AJ87" s="82"/>
      <c r="AK87" s="82"/>
      <c r="AL87" s="105"/>
      <c r="AM87" s="82"/>
      <c r="AN87" s="82"/>
      <c r="AO87" s="82"/>
    </row>
    <row r="88" spans="2:41" ht="12.95">
      <c r="B88" s="100" t="s">
        <v>513</v>
      </c>
      <c r="C88" s="101"/>
      <c r="D88" s="83"/>
      <c r="E88" s="102" t="s">
        <v>477</v>
      </c>
      <c r="F88" s="102"/>
      <c r="G88" s="102"/>
      <c r="H88" s="102"/>
      <c r="I88" s="102"/>
      <c r="J88" s="102"/>
      <c r="K88" s="83"/>
      <c r="L88" s="102"/>
      <c r="M88" s="102"/>
      <c r="N88" s="102"/>
      <c r="O88" s="102"/>
      <c r="P88" s="83"/>
      <c r="Q88" s="102"/>
      <c r="R88" s="102"/>
      <c r="S88" s="102"/>
      <c r="T88" s="102"/>
      <c r="U88" s="102"/>
      <c r="V88" s="102" t="s">
        <v>477</v>
      </c>
      <c r="W88" s="102"/>
      <c r="X88" s="83"/>
      <c r="Y88" s="102"/>
      <c r="Z88" s="102" t="s">
        <v>477</v>
      </c>
      <c r="AA88" s="102"/>
      <c r="AB88" s="83"/>
      <c r="AC88" s="102"/>
      <c r="AD88" s="102"/>
      <c r="AE88" s="102"/>
      <c r="AF88" s="102"/>
      <c r="AG88" s="102"/>
      <c r="AH88" s="102"/>
      <c r="AI88" s="102"/>
      <c r="AJ88" s="102"/>
      <c r="AK88" s="102"/>
      <c r="AL88" s="83"/>
      <c r="AM88" s="102"/>
      <c r="AN88" s="102"/>
      <c r="AO88" s="102"/>
    </row>
    <row r="89" spans="2:41" ht="12.95">
      <c r="B89" s="79"/>
      <c r="C89" s="79"/>
      <c r="D89" s="105"/>
      <c r="E89" s="82"/>
      <c r="F89" s="82"/>
      <c r="G89" s="82"/>
      <c r="H89" s="82"/>
      <c r="I89" s="82"/>
      <c r="J89" s="82"/>
      <c r="K89" s="105"/>
      <c r="L89" s="82"/>
      <c r="M89" s="82"/>
      <c r="N89" s="82"/>
      <c r="O89" s="82"/>
      <c r="P89" s="105"/>
      <c r="Q89" s="82"/>
      <c r="R89" s="82"/>
      <c r="S89" s="82"/>
      <c r="T89" s="82"/>
      <c r="U89" s="82"/>
      <c r="V89" s="82"/>
      <c r="W89" s="82"/>
      <c r="X89" s="105"/>
      <c r="Y89" s="82"/>
      <c r="Z89" s="82"/>
      <c r="AA89" s="82"/>
      <c r="AB89" s="105"/>
      <c r="AC89" s="82"/>
      <c r="AD89" s="82"/>
      <c r="AE89" s="82"/>
      <c r="AF89" s="82"/>
      <c r="AG89" s="82"/>
      <c r="AH89" s="82"/>
      <c r="AI89" s="82"/>
      <c r="AJ89" s="82"/>
      <c r="AK89" s="82"/>
      <c r="AL89" s="105"/>
      <c r="AM89" s="82"/>
      <c r="AN89" s="82"/>
      <c r="AO89" s="82"/>
    </row>
    <row r="90" spans="2:41" ht="12.95">
      <c r="B90" s="100" t="s">
        <v>514</v>
      </c>
      <c r="C90" s="101"/>
      <c r="D90" s="83"/>
      <c r="E90" s="102" t="s">
        <v>477</v>
      </c>
      <c r="F90" s="102"/>
      <c r="G90" s="102"/>
      <c r="H90" s="102" t="s">
        <v>477</v>
      </c>
      <c r="I90" s="102"/>
      <c r="J90" s="102"/>
      <c r="K90" s="83"/>
      <c r="L90" s="102"/>
      <c r="M90" s="102"/>
      <c r="N90" s="102"/>
      <c r="O90" s="102"/>
      <c r="P90" s="83"/>
      <c r="Q90" s="102" t="s">
        <v>477</v>
      </c>
      <c r="R90" s="102" t="s">
        <v>477</v>
      </c>
      <c r="S90" s="102"/>
      <c r="T90" s="102"/>
      <c r="U90" s="102"/>
      <c r="V90" s="102"/>
      <c r="W90" s="102"/>
      <c r="X90" s="83"/>
      <c r="Y90" s="102"/>
      <c r="Z90" s="102"/>
      <c r="AA90" s="102" t="s">
        <v>477</v>
      </c>
      <c r="AB90" s="83"/>
      <c r="AC90" s="102" t="s">
        <v>472</v>
      </c>
      <c r="AD90" s="102" t="s">
        <v>472</v>
      </c>
      <c r="AE90" s="102" t="s">
        <v>472</v>
      </c>
      <c r="AF90" s="102" t="s">
        <v>472</v>
      </c>
      <c r="AG90" s="102" t="s">
        <v>472</v>
      </c>
      <c r="AH90" s="102" t="s">
        <v>472</v>
      </c>
      <c r="AI90" s="102" t="s">
        <v>472</v>
      </c>
      <c r="AJ90" s="102" t="s">
        <v>472</v>
      </c>
      <c r="AK90" s="102" t="s">
        <v>472</v>
      </c>
      <c r="AL90" s="83"/>
      <c r="AM90" s="102"/>
      <c r="AN90" s="102"/>
      <c r="AO90" s="102"/>
    </row>
    <row r="91" spans="2:41" ht="12.95">
      <c r="B91" s="79"/>
      <c r="C91" s="79"/>
      <c r="D91" s="105"/>
      <c r="E91" s="82"/>
      <c r="F91" s="82"/>
      <c r="G91" s="82"/>
      <c r="H91" s="82"/>
      <c r="I91" s="82"/>
      <c r="J91" s="24"/>
      <c r="K91" s="105"/>
      <c r="L91" s="82"/>
      <c r="M91" s="82"/>
      <c r="N91" s="82"/>
      <c r="O91" s="82"/>
      <c r="P91" s="105"/>
      <c r="Q91" s="82"/>
      <c r="R91" s="82"/>
      <c r="S91" s="82"/>
      <c r="T91" s="82"/>
      <c r="U91" s="82"/>
      <c r="V91" s="82"/>
      <c r="W91" s="82"/>
      <c r="X91" s="105"/>
      <c r="Y91" s="82"/>
      <c r="Z91" s="82"/>
      <c r="AA91" s="82"/>
      <c r="AB91" s="105"/>
      <c r="AC91" s="82"/>
      <c r="AD91" s="82"/>
      <c r="AE91" s="82"/>
      <c r="AF91" s="82"/>
      <c r="AG91" s="82"/>
      <c r="AH91" s="82"/>
      <c r="AI91" s="82"/>
      <c r="AJ91" s="82"/>
      <c r="AK91" s="24"/>
      <c r="AL91" s="105"/>
      <c r="AM91" s="82"/>
      <c r="AN91" s="82"/>
      <c r="AO91" s="82"/>
    </row>
    <row r="92" spans="2:41" ht="12.95">
      <c r="B92" s="100" t="s">
        <v>287</v>
      </c>
      <c r="C92" s="101"/>
      <c r="D92" s="83"/>
      <c r="E92" s="102" t="s">
        <v>477</v>
      </c>
      <c r="F92" s="102"/>
      <c r="G92" s="102"/>
      <c r="H92" s="102" t="s">
        <v>477</v>
      </c>
      <c r="I92" s="102"/>
      <c r="J92" s="102"/>
      <c r="K92" s="83"/>
      <c r="L92" s="102"/>
      <c r="M92" s="102"/>
      <c r="N92" s="102"/>
      <c r="O92" s="102"/>
      <c r="P92" s="83"/>
      <c r="Q92" s="102"/>
      <c r="R92" s="102"/>
      <c r="S92" s="102"/>
      <c r="T92" s="102"/>
      <c r="U92" s="102"/>
      <c r="V92" s="102"/>
      <c r="W92" s="102"/>
      <c r="X92" s="83"/>
      <c r="Y92" s="102"/>
      <c r="Z92" s="102"/>
      <c r="AA92" s="102" t="s">
        <v>477</v>
      </c>
      <c r="AB92" s="83"/>
      <c r="AC92" s="102"/>
      <c r="AD92" s="102" t="s">
        <v>476</v>
      </c>
      <c r="AE92" s="102"/>
      <c r="AF92" s="102"/>
      <c r="AG92" s="102"/>
      <c r="AH92" s="102"/>
      <c r="AI92" s="102"/>
      <c r="AJ92" s="102"/>
      <c r="AK92" s="102"/>
      <c r="AL92" s="83"/>
      <c r="AM92" s="102"/>
      <c r="AN92" s="102"/>
      <c r="AO92" s="102"/>
    </row>
    <row r="93" spans="2:41" ht="12.95">
      <c r="B93" s="79"/>
      <c r="C93" s="79"/>
      <c r="D93" s="105"/>
      <c r="E93" s="82"/>
      <c r="F93" s="82"/>
      <c r="G93" s="82"/>
      <c r="H93" s="82"/>
      <c r="I93" s="82"/>
      <c r="J93" s="82"/>
      <c r="K93" s="105"/>
      <c r="L93" s="82"/>
      <c r="M93" s="82"/>
      <c r="N93" s="82"/>
      <c r="O93" s="82"/>
      <c r="P93" s="105"/>
      <c r="Q93" s="82"/>
      <c r="R93" s="82"/>
      <c r="S93" s="82"/>
      <c r="T93" s="82"/>
      <c r="U93" s="82"/>
      <c r="V93" s="82"/>
      <c r="W93" s="82"/>
      <c r="X93" s="105"/>
      <c r="Y93" s="82"/>
      <c r="Z93" s="82"/>
      <c r="AA93" s="82"/>
      <c r="AB93" s="105"/>
      <c r="AC93" s="82"/>
      <c r="AD93" s="82"/>
      <c r="AE93" s="82"/>
      <c r="AF93" s="82"/>
      <c r="AG93" s="82"/>
      <c r="AH93" s="82"/>
      <c r="AI93" s="82"/>
      <c r="AJ93" s="82"/>
      <c r="AK93" s="82"/>
      <c r="AL93" s="105"/>
      <c r="AM93" s="82"/>
      <c r="AN93" s="82"/>
      <c r="AO93" s="82"/>
    </row>
    <row r="94" spans="2:41" ht="12.95">
      <c r="B94" s="100" t="s">
        <v>515</v>
      </c>
      <c r="C94" s="101"/>
      <c r="D94" s="83"/>
      <c r="E94" s="102" t="s">
        <v>477</v>
      </c>
      <c r="F94" s="102"/>
      <c r="G94" s="102"/>
      <c r="H94" s="102"/>
      <c r="I94" s="102"/>
      <c r="J94" s="102"/>
      <c r="K94" s="83"/>
      <c r="L94" s="102"/>
      <c r="M94" s="102"/>
      <c r="N94" s="102"/>
      <c r="O94" s="102"/>
      <c r="P94" s="83"/>
      <c r="Q94" s="102"/>
      <c r="R94" s="102"/>
      <c r="S94" s="102"/>
      <c r="T94" s="102"/>
      <c r="U94" s="102"/>
      <c r="V94" s="102"/>
      <c r="W94" s="102"/>
      <c r="X94" s="83"/>
      <c r="Y94" s="102"/>
      <c r="Z94" s="102"/>
      <c r="AA94" s="102"/>
      <c r="AB94" s="83"/>
      <c r="AC94" s="102"/>
      <c r="AD94" s="102" t="s">
        <v>477</v>
      </c>
      <c r="AE94" s="102" t="s">
        <v>476</v>
      </c>
      <c r="AF94" s="102" t="s">
        <v>476</v>
      </c>
      <c r="AG94" s="102" t="s">
        <v>476</v>
      </c>
      <c r="AH94" s="102" t="s">
        <v>476</v>
      </c>
      <c r="AI94" s="102"/>
      <c r="AJ94" s="102" t="s">
        <v>476</v>
      </c>
      <c r="AK94" s="102"/>
      <c r="AL94" s="83"/>
      <c r="AM94" s="102"/>
      <c r="AN94" s="102"/>
      <c r="AO94" s="102"/>
    </row>
    <row r="95" spans="2:41" ht="12.95">
      <c r="B95" s="79"/>
      <c r="C95" s="79"/>
      <c r="D95" s="105"/>
      <c r="E95" s="82"/>
      <c r="F95" s="82"/>
      <c r="G95" s="82"/>
      <c r="H95" s="82"/>
      <c r="I95" s="82"/>
      <c r="J95" s="82"/>
      <c r="K95" s="105"/>
      <c r="L95" s="82"/>
      <c r="M95" s="82"/>
      <c r="N95" s="82"/>
      <c r="O95" s="82"/>
      <c r="P95" s="105"/>
      <c r="Q95" s="82"/>
      <c r="R95" s="82"/>
      <c r="S95" s="82"/>
      <c r="T95" s="82"/>
      <c r="U95" s="82"/>
      <c r="V95" s="82"/>
      <c r="W95" s="82"/>
      <c r="X95" s="105"/>
      <c r="Y95" s="82"/>
      <c r="Z95" s="82"/>
      <c r="AA95" s="82"/>
      <c r="AB95" s="105"/>
      <c r="AC95" s="82"/>
      <c r="AD95" s="82"/>
      <c r="AE95" s="82"/>
      <c r="AF95" s="82"/>
      <c r="AG95" s="82"/>
      <c r="AH95" s="82"/>
      <c r="AI95" s="82"/>
      <c r="AJ95" s="82"/>
      <c r="AK95" s="82"/>
      <c r="AL95" s="105"/>
      <c r="AM95" s="82"/>
      <c r="AN95" s="82"/>
      <c r="AO95" s="82"/>
    </row>
    <row r="96" spans="2:41" ht="12.95">
      <c r="B96" s="100" t="s">
        <v>516</v>
      </c>
      <c r="C96" s="101"/>
      <c r="D96" s="83"/>
      <c r="E96" s="102" t="s">
        <v>477</v>
      </c>
      <c r="F96" s="102"/>
      <c r="G96" s="102"/>
      <c r="H96" s="102"/>
      <c r="I96" s="102"/>
      <c r="J96" s="102"/>
      <c r="K96" s="83"/>
      <c r="L96" s="102" t="s">
        <v>477</v>
      </c>
      <c r="M96" s="102"/>
      <c r="N96" s="102"/>
      <c r="O96" s="102"/>
      <c r="P96" s="83"/>
      <c r="Q96" s="102"/>
      <c r="R96" s="102"/>
      <c r="S96" s="102"/>
      <c r="T96" s="102"/>
      <c r="U96" s="102"/>
      <c r="V96" s="102" t="s">
        <v>477</v>
      </c>
      <c r="W96" s="102"/>
      <c r="X96" s="83"/>
      <c r="Y96" s="102" t="s">
        <v>477</v>
      </c>
      <c r="Z96" s="102"/>
      <c r="AA96" s="102"/>
      <c r="AB96" s="83"/>
      <c r="AC96" s="102" t="s">
        <v>517</v>
      </c>
      <c r="AD96" s="102" t="s">
        <v>477</v>
      </c>
      <c r="AE96" s="102" t="s">
        <v>477</v>
      </c>
      <c r="AF96" s="102" t="s">
        <v>477</v>
      </c>
      <c r="AG96" s="102" t="s">
        <v>477</v>
      </c>
      <c r="AH96" s="102"/>
      <c r="AI96" s="102"/>
      <c r="AJ96" s="102"/>
      <c r="AK96" s="102"/>
      <c r="AL96" s="83"/>
      <c r="AM96" s="102"/>
      <c r="AN96" s="102" t="s">
        <v>477</v>
      </c>
      <c r="AO96" s="102"/>
    </row>
    <row r="97" spans="2:41" ht="12.95">
      <c r="B97" s="101"/>
      <c r="C97" s="101"/>
      <c r="D97" s="108"/>
      <c r="E97" s="24"/>
      <c r="F97" s="24"/>
      <c r="G97" s="24"/>
      <c r="H97" s="24"/>
      <c r="I97" s="24"/>
      <c r="J97" s="82"/>
      <c r="K97" s="108"/>
      <c r="L97" s="24"/>
      <c r="M97" s="24"/>
      <c r="N97" s="24"/>
      <c r="O97" s="24"/>
      <c r="P97" s="108"/>
      <c r="Q97" s="24"/>
      <c r="R97" s="24"/>
      <c r="S97" s="24"/>
      <c r="T97" s="24"/>
      <c r="U97" s="24"/>
      <c r="V97" s="24"/>
      <c r="W97" s="24"/>
      <c r="X97" s="108"/>
      <c r="Y97" s="24"/>
      <c r="Z97" s="24"/>
      <c r="AA97" s="24"/>
      <c r="AB97" s="108"/>
      <c r="AC97" s="24"/>
      <c r="AD97" s="24"/>
      <c r="AE97" s="24"/>
      <c r="AF97" s="24"/>
      <c r="AG97" s="24"/>
      <c r="AH97" s="24"/>
      <c r="AI97" s="24"/>
      <c r="AJ97" s="24"/>
      <c r="AK97" s="82"/>
      <c r="AL97" s="108"/>
      <c r="AM97" s="24"/>
      <c r="AN97" s="24"/>
      <c r="AO97" s="24"/>
    </row>
    <row r="98" spans="2:41" ht="12.95">
      <c r="B98" s="100" t="s">
        <v>518</v>
      </c>
      <c r="C98" s="101"/>
      <c r="D98" s="83"/>
      <c r="E98" s="102" t="s">
        <v>477</v>
      </c>
      <c r="F98" s="102"/>
      <c r="G98" s="102"/>
      <c r="H98" s="102"/>
      <c r="I98" s="102"/>
      <c r="J98" s="102"/>
      <c r="K98" s="83"/>
      <c r="L98" s="102"/>
      <c r="M98" s="102"/>
      <c r="N98" s="102"/>
      <c r="O98" s="102"/>
      <c r="P98" s="83"/>
      <c r="Q98" s="102"/>
      <c r="R98" s="102"/>
      <c r="S98" s="102"/>
      <c r="T98" s="102"/>
      <c r="U98" s="102"/>
      <c r="V98" s="102"/>
      <c r="W98" s="102"/>
      <c r="X98" s="83"/>
      <c r="Y98" s="102"/>
      <c r="Z98" s="102"/>
      <c r="AA98" s="102"/>
      <c r="AB98" s="83"/>
      <c r="AC98" s="102"/>
      <c r="AD98" s="102" t="s">
        <v>477</v>
      </c>
      <c r="AE98" s="102"/>
      <c r="AF98" s="102"/>
      <c r="AG98" s="102"/>
      <c r="AH98" s="102"/>
      <c r="AI98" s="102"/>
      <c r="AJ98" s="102"/>
      <c r="AK98" s="102"/>
      <c r="AL98" s="83"/>
      <c r="AM98" s="102"/>
      <c r="AN98" s="102"/>
      <c r="AO98" s="102"/>
    </row>
    <row r="99" spans="2:41" ht="12.95">
      <c r="B99" s="79"/>
      <c r="C99" s="79"/>
      <c r="D99" s="105"/>
      <c r="E99" s="82"/>
      <c r="F99" s="82"/>
      <c r="G99" s="82"/>
      <c r="H99" s="82"/>
      <c r="I99" s="82"/>
      <c r="J99" s="82"/>
      <c r="K99" s="105"/>
      <c r="L99" s="82"/>
      <c r="M99" s="82"/>
      <c r="N99" s="82"/>
      <c r="O99" s="82"/>
      <c r="P99" s="105"/>
      <c r="Q99" s="82"/>
      <c r="R99" s="82"/>
      <c r="S99" s="82"/>
      <c r="T99" s="82"/>
      <c r="U99" s="82"/>
      <c r="V99" s="82"/>
      <c r="W99" s="82"/>
      <c r="X99" s="105"/>
      <c r="Y99" s="82"/>
      <c r="Z99" s="82"/>
      <c r="AA99" s="82"/>
      <c r="AB99" s="105"/>
      <c r="AC99" s="82"/>
      <c r="AD99" s="82"/>
      <c r="AE99" s="82"/>
      <c r="AF99" s="82"/>
      <c r="AG99" s="82"/>
      <c r="AH99" s="82"/>
      <c r="AI99" s="82"/>
      <c r="AJ99" s="82"/>
      <c r="AK99" s="82"/>
      <c r="AL99" s="105"/>
      <c r="AM99" s="82"/>
      <c r="AN99" s="82"/>
      <c r="AO99" s="82"/>
    </row>
    <row r="100" spans="2:41" ht="12.95">
      <c r="B100" s="100" t="s">
        <v>307</v>
      </c>
      <c r="C100" s="101"/>
      <c r="D100" s="83"/>
      <c r="E100" s="102" t="s">
        <v>477</v>
      </c>
      <c r="F100" s="102"/>
      <c r="G100" s="102"/>
      <c r="H100" s="102"/>
      <c r="I100" s="102"/>
      <c r="J100" s="102"/>
      <c r="K100" s="83"/>
      <c r="L100" s="102"/>
      <c r="M100" s="102"/>
      <c r="N100" s="102"/>
      <c r="O100" s="102"/>
      <c r="P100" s="83"/>
      <c r="Q100" s="102"/>
      <c r="R100" s="102"/>
      <c r="S100" s="102"/>
      <c r="T100" s="102"/>
      <c r="U100" s="102"/>
      <c r="V100" s="102"/>
      <c r="W100" s="102"/>
      <c r="X100" s="83"/>
      <c r="Y100" s="102"/>
      <c r="Z100" s="102"/>
      <c r="AA100" s="102"/>
      <c r="AB100" s="83"/>
      <c r="AC100" s="102"/>
      <c r="AD100" s="102"/>
      <c r="AE100" s="102"/>
      <c r="AF100" s="102"/>
      <c r="AG100" s="102"/>
      <c r="AH100" s="102"/>
      <c r="AI100" s="102" t="s">
        <v>476</v>
      </c>
      <c r="AJ100" s="102"/>
      <c r="AK100" s="102"/>
      <c r="AL100" s="83"/>
      <c r="AM100" s="102"/>
      <c r="AN100" s="102"/>
      <c r="AO100" s="102"/>
    </row>
    <row r="101" spans="2:41" ht="14.45" customHeight="1">
      <c r="B101" s="79"/>
      <c r="C101" s="79"/>
      <c r="D101" s="82"/>
      <c r="E101" s="82"/>
      <c r="F101" s="82"/>
      <c r="G101" s="82"/>
      <c r="H101" s="82"/>
      <c r="I101" s="82"/>
      <c r="J101" s="82"/>
      <c r="K101" s="82"/>
      <c r="L101" s="82"/>
      <c r="M101" s="82"/>
      <c r="N101" s="82"/>
      <c r="O101" s="82"/>
      <c r="P101" s="82"/>
      <c r="Q101" s="82"/>
      <c r="R101" s="82"/>
      <c r="S101" s="82"/>
      <c r="T101" s="82"/>
      <c r="U101" s="82"/>
      <c r="V101" s="82"/>
      <c r="W101" s="82"/>
      <c r="X101" s="82"/>
      <c r="Y101" s="82"/>
      <c r="Z101" s="82"/>
      <c r="AA101" s="82"/>
      <c r="AB101" s="82"/>
      <c r="AC101" s="82"/>
      <c r="AD101" s="82"/>
      <c r="AE101" s="82"/>
      <c r="AF101" s="82"/>
      <c r="AG101" s="82"/>
      <c r="AH101" s="82"/>
      <c r="AI101" s="82"/>
      <c r="AJ101" s="82"/>
      <c r="AK101" s="82"/>
      <c r="AL101" s="82"/>
      <c r="AM101" s="82"/>
      <c r="AN101" s="82"/>
      <c r="AO101" s="82"/>
    </row>
    <row r="102" spans="2:41" ht="12.95">
      <c r="B102" s="100" t="s">
        <v>519</v>
      </c>
      <c r="C102" s="101"/>
      <c r="D102" s="83"/>
      <c r="E102" s="102" t="s">
        <v>477</v>
      </c>
      <c r="F102" s="102"/>
      <c r="G102" s="102"/>
      <c r="H102" s="102"/>
      <c r="I102" s="102"/>
      <c r="J102" s="102"/>
      <c r="K102" s="83"/>
      <c r="L102" s="102"/>
      <c r="M102" s="102"/>
      <c r="N102" s="102"/>
      <c r="O102" s="102"/>
      <c r="P102" s="83"/>
      <c r="Q102" s="102"/>
      <c r="R102" s="102"/>
      <c r="S102" s="102"/>
      <c r="T102" s="102"/>
      <c r="U102" s="102"/>
      <c r="V102" s="102"/>
      <c r="W102" s="102"/>
      <c r="X102" s="83"/>
      <c r="Y102" s="102"/>
      <c r="Z102" s="102"/>
      <c r="AA102" s="102"/>
      <c r="AB102" s="83"/>
      <c r="AC102" s="102"/>
      <c r="AD102" s="102"/>
      <c r="AE102" s="102"/>
      <c r="AF102" s="102"/>
      <c r="AG102" s="102"/>
      <c r="AH102" s="102"/>
      <c r="AI102" s="102"/>
      <c r="AJ102" s="102"/>
      <c r="AK102" s="102" t="s">
        <v>476</v>
      </c>
      <c r="AL102" s="83"/>
      <c r="AM102" s="102"/>
      <c r="AN102" s="102"/>
      <c r="AO102" s="102"/>
    </row>
    <row r="103" spans="2:41" ht="12.95">
      <c r="B103" s="79"/>
      <c r="C103" s="79"/>
      <c r="D103" s="105"/>
      <c r="E103" s="82"/>
      <c r="F103" s="82"/>
      <c r="G103" s="82"/>
      <c r="H103" s="82"/>
      <c r="I103" s="82"/>
      <c r="J103" s="82"/>
      <c r="K103" s="105"/>
      <c r="L103" s="82"/>
      <c r="M103" s="82"/>
      <c r="N103" s="82"/>
      <c r="O103" s="82"/>
      <c r="P103" s="105"/>
      <c r="Q103" s="82"/>
      <c r="R103" s="82"/>
      <c r="S103" s="82"/>
      <c r="T103" s="82"/>
      <c r="U103" s="82"/>
      <c r="V103" s="82"/>
      <c r="W103" s="82"/>
      <c r="X103" s="105"/>
      <c r="Y103" s="82"/>
      <c r="Z103" s="82"/>
      <c r="AA103" s="82"/>
      <c r="AB103" s="105"/>
      <c r="AC103" s="82"/>
      <c r="AD103" s="82"/>
      <c r="AE103" s="82"/>
      <c r="AF103" s="82"/>
      <c r="AG103" s="82"/>
      <c r="AH103" s="82"/>
      <c r="AI103" s="82"/>
      <c r="AJ103" s="82"/>
      <c r="AK103" s="82"/>
      <c r="AL103" s="105"/>
      <c r="AM103" s="82"/>
      <c r="AN103" s="82"/>
      <c r="AO103" s="82"/>
    </row>
    <row r="104" spans="2:41" ht="12.95">
      <c r="B104" s="100" t="s">
        <v>321</v>
      </c>
      <c r="C104" s="101"/>
      <c r="D104" s="83"/>
      <c r="E104" s="102" t="s">
        <v>477</v>
      </c>
      <c r="F104" s="102"/>
      <c r="G104" s="102"/>
      <c r="H104" s="102"/>
      <c r="I104" s="102"/>
      <c r="J104" s="102"/>
      <c r="K104" s="83"/>
      <c r="L104" s="102"/>
      <c r="M104" s="102"/>
      <c r="N104" s="102"/>
      <c r="O104" s="102"/>
      <c r="P104" s="83"/>
      <c r="Q104" s="102"/>
      <c r="R104" s="102"/>
      <c r="S104" s="102"/>
      <c r="T104" s="102"/>
      <c r="U104" s="102"/>
      <c r="V104" s="102"/>
      <c r="W104" s="102"/>
      <c r="X104" s="83"/>
      <c r="Y104" s="102"/>
      <c r="Z104" s="102"/>
      <c r="AA104" s="102"/>
      <c r="AB104" s="83"/>
      <c r="AC104" s="102"/>
      <c r="AD104" s="102"/>
      <c r="AE104" s="102"/>
      <c r="AF104" s="102"/>
      <c r="AG104" s="102"/>
      <c r="AH104" s="102"/>
      <c r="AI104" s="102"/>
      <c r="AJ104" s="102"/>
      <c r="AK104" s="102"/>
      <c r="AL104" s="83"/>
      <c r="AM104" s="102" t="s">
        <v>472</v>
      </c>
      <c r="AN104" s="102" t="s">
        <v>472</v>
      </c>
      <c r="AO104" s="102" t="s">
        <v>472</v>
      </c>
    </row>
    <row r="105" spans="2:41" ht="12.95">
      <c r="B105" s="101"/>
      <c r="C105" s="101"/>
      <c r="D105" s="108"/>
      <c r="E105" s="24"/>
      <c r="F105" s="24"/>
      <c r="G105" s="24"/>
      <c r="H105" s="24"/>
      <c r="I105" s="24"/>
      <c r="J105" s="24"/>
      <c r="K105" s="108"/>
      <c r="L105" s="24"/>
      <c r="M105" s="24"/>
      <c r="N105" s="24"/>
      <c r="O105" s="24"/>
      <c r="P105" s="108"/>
      <c r="Q105" s="24"/>
      <c r="R105" s="24"/>
      <c r="S105" s="24"/>
      <c r="T105" s="24"/>
      <c r="U105" s="24"/>
      <c r="V105" s="24"/>
      <c r="W105" s="24"/>
      <c r="X105" s="108"/>
      <c r="Y105" s="24"/>
      <c r="Z105" s="24"/>
      <c r="AA105" s="24"/>
      <c r="AB105" s="108"/>
      <c r="AC105" s="24"/>
      <c r="AD105" s="24"/>
      <c r="AE105" s="24"/>
      <c r="AF105" s="24"/>
      <c r="AG105" s="24"/>
      <c r="AH105" s="24"/>
      <c r="AI105" s="24"/>
      <c r="AJ105" s="24"/>
      <c r="AK105" s="24"/>
      <c r="AL105" s="108"/>
      <c r="AM105" s="24"/>
      <c r="AN105" s="24"/>
      <c r="AO105" s="24"/>
    </row>
    <row r="106" spans="2:41" ht="12.95">
      <c r="B106" s="100" t="s">
        <v>520</v>
      </c>
      <c r="C106" s="101"/>
      <c r="D106" s="83"/>
      <c r="E106" s="102" t="s">
        <v>477</v>
      </c>
      <c r="F106" s="102"/>
      <c r="G106" s="102"/>
      <c r="H106" s="102"/>
      <c r="I106" s="102"/>
      <c r="J106" s="102"/>
      <c r="K106" s="83"/>
      <c r="L106" s="102"/>
      <c r="M106" s="102"/>
      <c r="N106" s="102"/>
      <c r="O106" s="102"/>
      <c r="P106" s="83"/>
      <c r="Q106" s="102"/>
      <c r="R106" s="102"/>
      <c r="S106" s="102"/>
      <c r="T106" s="102"/>
      <c r="U106" s="102"/>
      <c r="V106" s="102"/>
      <c r="W106" s="102"/>
      <c r="X106" s="83"/>
      <c r="Y106" s="102"/>
      <c r="Z106" s="102"/>
      <c r="AA106" s="102"/>
      <c r="AB106" s="83"/>
      <c r="AC106" s="102"/>
      <c r="AD106" s="102"/>
      <c r="AE106" s="102"/>
      <c r="AF106" s="102"/>
      <c r="AG106" s="102"/>
      <c r="AH106" s="102"/>
      <c r="AI106" s="102"/>
      <c r="AJ106" s="102"/>
      <c r="AK106" s="102"/>
      <c r="AL106" s="83"/>
      <c r="AM106" s="102" t="s">
        <v>476</v>
      </c>
      <c r="AN106" s="102" t="s">
        <v>476</v>
      </c>
      <c r="AO106" s="102"/>
    </row>
    <row r="107" spans="2:41" ht="12.95">
      <c r="B107" s="79"/>
      <c r="C107" s="79"/>
      <c r="D107" s="105"/>
      <c r="E107" s="82"/>
      <c r="F107" s="82"/>
      <c r="G107" s="82"/>
      <c r="H107" s="82"/>
      <c r="I107" s="82"/>
      <c r="J107" s="82"/>
      <c r="K107" s="105"/>
      <c r="L107" s="82"/>
      <c r="M107" s="82"/>
      <c r="N107" s="82"/>
      <c r="O107" s="82"/>
      <c r="P107" s="105"/>
      <c r="Q107" s="82"/>
      <c r="R107" s="82"/>
      <c r="S107" s="82"/>
      <c r="T107" s="82"/>
      <c r="U107" s="82"/>
      <c r="V107" s="82"/>
      <c r="W107" s="82"/>
      <c r="X107" s="105"/>
      <c r="Y107" s="82"/>
      <c r="Z107" s="82"/>
      <c r="AA107" s="82"/>
      <c r="AB107" s="105"/>
      <c r="AC107" s="82"/>
      <c r="AD107" s="82"/>
      <c r="AE107" s="82"/>
      <c r="AF107" s="82"/>
      <c r="AG107" s="82"/>
      <c r="AH107" s="82"/>
      <c r="AI107" s="82"/>
      <c r="AJ107" s="82"/>
      <c r="AK107" s="82"/>
      <c r="AL107" s="105"/>
      <c r="AM107" s="82"/>
      <c r="AN107" s="82"/>
      <c r="AO107" s="82"/>
    </row>
    <row r="108" spans="2:41" ht="12.95">
      <c r="B108" s="100" t="s">
        <v>521</v>
      </c>
      <c r="C108" s="101"/>
      <c r="D108" s="83"/>
      <c r="E108" s="102" t="s">
        <v>477</v>
      </c>
      <c r="F108" s="102"/>
      <c r="G108" s="102"/>
      <c r="H108" s="102"/>
      <c r="I108" s="102"/>
      <c r="J108" s="102"/>
      <c r="K108" s="83"/>
      <c r="L108" s="102"/>
      <c r="M108" s="102"/>
      <c r="N108" s="102"/>
      <c r="O108" s="102"/>
      <c r="P108" s="83"/>
      <c r="Q108" s="102"/>
      <c r="R108" s="102"/>
      <c r="S108" s="102"/>
      <c r="T108" s="102"/>
      <c r="U108" s="102"/>
      <c r="V108" s="102"/>
      <c r="W108" s="102"/>
      <c r="X108" s="83"/>
      <c r="Y108" s="102"/>
      <c r="Z108" s="102"/>
      <c r="AA108" s="102"/>
      <c r="AB108" s="83"/>
      <c r="AC108" s="102"/>
      <c r="AD108" s="102"/>
      <c r="AE108" s="102"/>
      <c r="AF108" s="102"/>
      <c r="AG108" s="102"/>
      <c r="AH108" s="102"/>
      <c r="AI108" s="102"/>
      <c r="AJ108" s="102"/>
      <c r="AK108" s="102"/>
      <c r="AL108" s="83"/>
      <c r="AM108" s="102"/>
      <c r="AN108" s="102" t="s">
        <v>476</v>
      </c>
      <c r="AO108" s="102"/>
    </row>
    <row r="109" spans="2:41" ht="12.95">
      <c r="B109" s="79"/>
      <c r="C109" s="79"/>
      <c r="D109" s="105"/>
      <c r="E109" s="82"/>
      <c r="F109" s="82"/>
      <c r="G109" s="82"/>
      <c r="H109" s="82"/>
      <c r="I109" s="82"/>
      <c r="J109" s="82"/>
      <c r="K109" s="105"/>
      <c r="L109" s="82"/>
      <c r="M109" s="82"/>
      <c r="N109" s="82"/>
      <c r="O109" s="82"/>
      <c r="P109" s="105"/>
      <c r="Q109" s="82"/>
      <c r="R109" s="82"/>
      <c r="S109" s="82"/>
      <c r="T109" s="82"/>
      <c r="U109" s="82"/>
      <c r="V109" s="82"/>
      <c r="W109" s="82"/>
      <c r="X109" s="105"/>
      <c r="Y109" s="82"/>
      <c r="Z109" s="82"/>
      <c r="AA109" s="82"/>
      <c r="AB109" s="105"/>
      <c r="AC109" s="82"/>
      <c r="AD109" s="82"/>
      <c r="AE109" s="82"/>
      <c r="AF109" s="82"/>
      <c r="AG109" s="82"/>
      <c r="AH109" s="82"/>
      <c r="AI109" s="82"/>
      <c r="AJ109" s="82"/>
      <c r="AK109" s="82"/>
      <c r="AL109" s="105"/>
      <c r="AM109" s="82"/>
      <c r="AN109" s="82"/>
      <c r="AO109" s="82"/>
    </row>
    <row r="110" spans="2:41" ht="12.95">
      <c r="B110" s="85" t="s">
        <v>522</v>
      </c>
      <c r="C110" s="79"/>
      <c r="D110" s="82"/>
      <c r="E110" s="82"/>
      <c r="F110" s="82"/>
      <c r="G110" s="82"/>
      <c r="H110" s="82"/>
      <c r="I110" s="82"/>
      <c r="K110" s="82"/>
      <c r="L110" s="82"/>
      <c r="M110" s="82"/>
      <c r="N110" s="82"/>
      <c r="O110" s="82"/>
      <c r="P110" s="82"/>
      <c r="Q110" s="82"/>
      <c r="R110" s="82"/>
      <c r="S110" s="82"/>
      <c r="T110" s="82"/>
      <c r="U110" s="82"/>
      <c r="V110" s="82"/>
      <c r="W110" s="82"/>
      <c r="X110" s="82"/>
      <c r="Y110" s="82"/>
      <c r="Z110" s="82"/>
      <c r="AA110" s="82"/>
      <c r="AB110" s="82"/>
      <c r="AC110" s="82"/>
      <c r="AD110" s="82"/>
      <c r="AE110" s="82"/>
      <c r="AF110" s="82"/>
      <c r="AG110" s="82"/>
      <c r="AH110" s="82"/>
      <c r="AI110" s="82"/>
      <c r="AJ110" s="82"/>
      <c r="AL110" s="82"/>
      <c r="AM110" s="82"/>
      <c r="AN110" s="82"/>
      <c r="AO110" s="82"/>
    </row>
    <row r="111" spans="2:41" ht="12.95">
      <c r="B111" s="85" t="s">
        <v>523</v>
      </c>
      <c r="C111" s="79"/>
      <c r="D111" s="82"/>
      <c r="E111" s="82"/>
      <c r="F111" s="82"/>
      <c r="G111" s="82"/>
      <c r="H111" s="82"/>
      <c r="I111" s="82"/>
      <c r="K111" s="82"/>
      <c r="L111" s="82"/>
      <c r="M111" s="82"/>
      <c r="N111" s="82"/>
      <c r="O111" s="82"/>
      <c r="P111" s="82"/>
      <c r="Q111" s="82"/>
      <c r="R111" s="82"/>
      <c r="S111" s="82"/>
      <c r="T111" s="82"/>
      <c r="U111" s="82"/>
      <c r="V111" s="82"/>
      <c r="W111" s="82"/>
      <c r="X111" s="82"/>
      <c r="Y111" s="82"/>
      <c r="Z111" s="82"/>
      <c r="AA111" s="82"/>
      <c r="AB111" s="82"/>
      <c r="AC111" s="82"/>
      <c r="AD111" s="82"/>
      <c r="AE111" s="82"/>
      <c r="AF111" s="82"/>
      <c r="AG111" s="82"/>
      <c r="AH111" s="82"/>
      <c r="AI111" s="82"/>
      <c r="AJ111" s="82"/>
      <c r="AL111" s="82"/>
      <c r="AM111" s="82"/>
      <c r="AN111" s="82"/>
      <c r="AO111" s="82"/>
    </row>
    <row r="112" spans="2:41" ht="12.95">
      <c r="B112" s="85" t="s">
        <v>524</v>
      </c>
      <c r="C112" s="79"/>
      <c r="D112" s="82"/>
      <c r="E112" s="82"/>
      <c r="F112" s="82"/>
      <c r="G112" s="82"/>
      <c r="H112" s="82"/>
      <c r="I112" s="82"/>
      <c r="K112" s="82"/>
      <c r="L112" s="82"/>
      <c r="M112" s="82"/>
      <c r="N112" s="82"/>
      <c r="O112" s="82"/>
      <c r="P112" s="82"/>
      <c r="Q112" s="82"/>
      <c r="R112" s="82"/>
      <c r="S112" s="82"/>
      <c r="T112" s="82"/>
      <c r="U112" s="82"/>
      <c r="V112" s="82"/>
      <c r="W112" s="82"/>
      <c r="X112" s="82"/>
      <c r="Y112" s="82"/>
      <c r="Z112" s="82"/>
      <c r="AA112" s="82"/>
      <c r="AB112" s="82"/>
      <c r="AC112" s="82"/>
      <c r="AD112" s="82"/>
      <c r="AE112" s="82"/>
      <c r="AF112" s="82"/>
      <c r="AG112" s="82"/>
      <c r="AH112" s="82"/>
      <c r="AI112" s="82"/>
      <c r="AJ112" s="82"/>
      <c r="AL112" s="82"/>
      <c r="AM112" s="82"/>
      <c r="AN112" s="82"/>
      <c r="AO112" s="82"/>
    </row>
    <row r="113" spans="2:41" ht="12.95">
      <c r="B113" s="85" t="s">
        <v>525</v>
      </c>
      <c r="C113" s="79"/>
      <c r="D113" s="82"/>
      <c r="E113" s="82"/>
      <c r="F113" s="82"/>
      <c r="G113" s="82"/>
      <c r="H113" s="82"/>
      <c r="I113" s="82"/>
      <c r="K113" s="82"/>
      <c r="L113" s="82"/>
      <c r="M113" s="82"/>
      <c r="N113" s="82"/>
      <c r="O113" s="82"/>
      <c r="P113" s="82"/>
      <c r="Q113" s="82"/>
      <c r="R113" s="82"/>
      <c r="S113" s="82"/>
      <c r="T113" s="82"/>
      <c r="U113" s="82"/>
      <c r="V113" s="82"/>
      <c r="W113" s="82"/>
      <c r="X113" s="82"/>
      <c r="Y113" s="82"/>
      <c r="Z113" s="82"/>
      <c r="AA113" s="82"/>
      <c r="AB113" s="82"/>
      <c r="AC113" s="82"/>
      <c r="AD113" s="82"/>
      <c r="AE113" s="82"/>
      <c r="AF113" s="82"/>
      <c r="AG113" s="82"/>
      <c r="AH113" s="82"/>
      <c r="AI113" s="82"/>
      <c r="AJ113" s="82"/>
      <c r="AL113" s="82"/>
      <c r="AM113" s="82"/>
      <c r="AN113" s="82"/>
      <c r="AO113" s="82"/>
    </row>
    <row r="114" spans="2:41">
      <c r="B114" s="79"/>
      <c r="C114" s="79"/>
      <c r="D114" s="82"/>
      <c r="E114" s="82"/>
      <c r="F114" s="82"/>
      <c r="G114" s="82"/>
      <c r="H114" s="82"/>
      <c r="I114" s="82"/>
      <c r="K114" s="82"/>
      <c r="L114" s="82"/>
      <c r="M114" s="82"/>
      <c r="N114" s="82"/>
      <c r="O114" s="82"/>
      <c r="P114" s="82"/>
      <c r="Q114" s="82"/>
      <c r="R114" s="82"/>
      <c r="S114" s="82"/>
      <c r="T114" s="82"/>
      <c r="U114" s="82"/>
      <c r="V114" s="82"/>
      <c r="W114" s="82"/>
      <c r="X114" s="82"/>
      <c r="Y114" s="82"/>
      <c r="Z114" s="82"/>
      <c r="AA114" s="82"/>
      <c r="AB114" s="82"/>
      <c r="AC114" s="82"/>
      <c r="AD114" s="82"/>
      <c r="AE114" s="82"/>
      <c r="AF114" s="82"/>
      <c r="AG114" s="82"/>
      <c r="AH114" s="82"/>
      <c r="AI114" s="82"/>
      <c r="AJ114" s="82"/>
      <c r="AL114" s="82"/>
      <c r="AM114" s="82"/>
      <c r="AN114" s="82"/>
      <c r="AO114" s="82"/>
    </row>
    <row r="115" spans="2:41">
      <c r="B115" s="86" t="s">
        <v>526</v>
      </c>
      <c r="C115" s="79"/>
      <c r="D115" s="82"/>
      <c r="E115" s="82"/>
      <c r="F115" s="82"/>
      <c r="G115" s="82"/>
      <c r="H115" s="82"/>
      <c r="I115" s="82"/>
      <c r="K115" s="82"/>
      <c r="L115" s="82"/>
      <c r="M115" s="82"/>
      <c r="N115" s="82"/>
      <c r="O115" s="82"/>
      <c r="P115" s="82"/>
      <c r="Q115" s="82"/>
      <c r="R115" s="82"/>
      <c r="S115" s="82"/>
      <c r="T115" s="82"/>
      <c r="U115" s="82"/>
      <c r="V115" s="82"/>
      <c r="W115" s="82"/>
      <c r="X115" s="82"/>
      <c r="Y115" s="82"/>
      <c r="Z115" s="82"/>
      <c r="AA115" s="82"/>
      <c r="AB115" s="82"/>
      <c r="AC115" s="82"/>
      <c r="AD115" s="82"/>
      <c r="AE115" s="82"/>
      <c r="AF115" s="82"/>
      <c r="AG115" s="82"/>
      <c r="AH115" s="82"/>
      <c r="AI115" s="82"/>
      <c r="AJ115" s="82"/>
      <c r="AL115" s="82"/>
      <c r="AM115" s="82"/>
      <c r="AN115" s="82"/>
      <c r="AO115" s="82"/>
    </row>
    <row r="116" spans="2:41">
      <c r="B116" s="87" t="s">
        <v>527</v>
      </c>
      <c r="C116" s="79"/>
      <c r="D116" s="82"/>
      <c r="E116" s="82"/>
      <c r="F116" s="82"/>
      <c r="G116" s="82"/>
      <c r="H116" s="82"/>
      <c r="I116" s="82"/>
      <c r="K116" s="82"/>
      <c r="L116" s="82"/>
      <c r="M116" s="82"/>
      <c r="N116" s="82"/>
      <c r="O116" s="82"/>
      <c r="P116" s="82"/>
      <c r="Q116" s="82"/>
      <c r="R116" s="82"/>
      <c r="S116" s="82"/>
      <c r="T116" s="82"/>
      <c r="U116" s="82"/>
      <c r="V116" s="82"/>
      <c r="W116" s="82"/>
      <c r="X116" s="82"/>
      <c r="Y116" s="82"/>
      <c r="Z116" s="82"/>
      <c r="AA116" s="82"/>
      <c r="AB116" s="82"/>
      <c r="AC116" s="82"/>
      <c r="AD116" s="82"/>
      <c r="AE116" s="82"/>
      <c r="AF116" s="82"/>
      <c r="AG116" s="82"/>
      <c r="AH116" s="82"/>
      <c r="AI116" s="82"/>
      <c r="AJ116" s="82"/>
      <c r="AL116" s="82"/>
      <c r="AM116" s="82"/>
      <c r="AN116" s="82"/>
      <c r="AO116" s="82"/>
    </row>
    <row r="117" spans="2:41">
      <c r="B117" s="87" t="s">
        <v>528</v>
      </c>
      <c r="C117" s="79"/>
      <c r="D117" s="82"/>
      <c r="E117" s="82"/>
      <c r="F117" s="82"/>
      <c r="G117" s="82"/>
      <c r="H117" s="82"/>
      <c r="I117" s="82"/>
      <c r="K117" s="82"/>
      <c r="L117" s="82"/>
      <c r="M117" s="82"/>
      <c r="N117" s="82"/>
      <c r="O117" s="82"/>
      <c r="P117" s="82"/>
      <c r="Q117" s="82"/>
      <c r="R117" s="82"/>
      <c r="S117" s="82"/>
      <c r="T117" s="82"/>
      <c r="U117" s="82"/>
      <c r="V117" s="82"/>
      <c r="W117" s="82"/>
      <c r="X117" s="82"/>
      <c r="Y117" s="82"/>
      <c r="Z117" s="82"/>
      <c r="AA117" s="82"/>
      <c r="AB117" s="82"/>
      <c r="AC117" s="82"/>
      <c r="AD117" s="82"/>
      <c r="AE117" s="82"/>
      <c r="AF117" s="82"/>
      <c r="AG117" s="82"/>
      <c r="AH117" s="82"/>
      <c r="AI117" s="82"/>
      <c r="AJ117" s="82"/>
      <c r="AL117" s="82"/>
      <c r="AM117" s="82"/>
      <c r="AN117" s="82"/>
      <c r="AO117" s="82"/>
    </row>
    <row r="121" spans="2:41" s="5" customFormat="1" ht="13.5">
      <c r="C121" s="7"/>
      <c r="M121" s="118" t="s">
        <v>51</v>
      </c>
      <c r="N121" s="7"/>
      <c r="O121" s="57"/>
      <c r="P121" s="57"/>
      <c r="Q121" s="57"/>
      <c r="S121" s="9"/>
      <c r="T121" s="7"/>
    </row>
    <row r="122" spans="2:41" s="5" customFormat="1">
      <c r="B122" s="12"/>
      <c r="C122" s="12"/>
      <c r="M122" s="116" t="s">
        <v>52</v>
      </c>
      <c r="N122" s="12"/>
      <c r="O122" s="57"/>
      <c r="P122" s="57"/>
      <c r="Q122" s="57"/>
      <c r="R122" s="12"/>
      <c r="S122" s="12"/>
      <c r="T122" s="12"/>
    </row>
    <row r="123" spans="2:41" s="5" customFormat="1">
      <c r="B123" s="123"/>
      <c r="C123" s="123"/>
      <c r="M123" s="22" t="s">
        <v>53</v>
      </c>
      <c r="N123" s="4"/>
      <c r="O123" s="57"/>
      <c r="P123" s="57"/>
      <c r="Q123" s="57"/>
      <c r="R123" s="14" t="s">
        <v>54</v>
      </c>
      <c r="S123" s="14"/>
      <c r="T123" s="14"/>
    </row>
  </sheetData>
  <printOptions horizontalCentered="1"/>
  <pageMargins left="0.19685039370078741" right="0.19685039370078741" top="0.39370078740157483" bottom="0.39370078740157483" header="0.19685039370078741" footer="0.19685039370078741"/>
  <pageSetup paperSize="9" scale="47" orientation="landscape" r:id="rId1"/>
  <headerFooter alignWithMargins="0">
    <oddHeader>&amp;L&amp;"Arial Black"&amp;10&amp;K76923C  &amp;1#_x000D_</oddHeader>
    <oddFooter>&amp;C_x000D_&amp;1#&amp;"Arial Black"&amp;10&amp;K76923C {Hitachi Rail – Internal}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08DDE9FE2D247D4494D660DB048602F0" ma:contentTypeVersion="52" ma:contentTypeDescription="Create a new document." ma:contentTypeScope="" ma:versionID="cbc45d1b4817ba9f6742d349d0360364">
  <xsd:schema xmlns:xsd="http://www.w3.org/2001/XMLSchema" xmlns:xs="http://www.w3.org/2001/XMLSchema" xmlns:p="http://schemas.microsoft.com/office/2006/metadata/properties" xmlns:ns1="http://schemas.microsoft.com/sharepoint/v3" xmlns:ns2="44ff82b8-bc12-4f3b-85af-c94291380423" xmlns:ns3="002a096b-e575-4747-8635-5f1618328375" targetNamespace="http://schemas.microsoft.com/office/2006/metadata/properties" ma:root="true" ma:fieldsID="cd1e7714abb444825cb392c8b20f01cb" ns1:_="" ns2:_="" ns3:_="">
    <xsd:import namespace="http://schemas.microsoft.com/sharepoint/v3"/>
    <xsd:import namespace="44ff82b8-bc12-4f3b-85af-c94291380423"/>
    <xsd:import namespace="002a096b-e575-4747-8635-5f1618328375"/>
    <xsd:element name="properties">
      <xsd:complexType>
        <xsd:sequence>
          <xsd:element name="documentManagement">
            <xsd:complexType>
              <xsd:all>
                <xsd:element ref="ns2:TaxCatchAll" minOccurs="0"/>
                <xsd:element ref="ns3:ia5e5c246e3044f5bccdde4c38804fde" minOccurs="0"/>
                <xsd:element ref="ns3:TOLID" minOccurs="0"/>
                <xsd:element ref="ns3:ReferenceDocument" minOccurs="0"/>
                <xsd:element ref="ns3:ReferenceSystem" minOccurs="0"/>
                <xsd:element ref="ns3:ValidityStart" minOccurs="0"/>
                <xsd:element ref="ns3:ValidityEnd" minOccurs="0"/>
                <xsd:element ref="ns3:ProcessTrigram" minOccurs="0"/>
                <xsd:element ref="ns3:Entity" minOccurs="0"/>
                <xsd:element ref="ns3:DocType" minOccurs="0"/>
                <xsd:element ref="ns3:DocLanguage" minOccurs="0"/>
                <xsd:element ref="ns3:BusinessLine" minOccurs="0"/>
                <xsd:element ref="ns3:Site" minOccurs="0"/>
                <xsd:element ref="ns3:Context" minOccurs="0"/>
                <xsd:element ref="ns3:Tailoring" minOccurs="0"/>
                <xsd:element ref="ns3:MediaServiceMetadata" minOccurs="0"/>
                <xsd:element ref="ns3:MediaServiceFastMetadata" minOccurs="0"/>
                <xsd:element ref="ns3:MediaServiceSearchProperties" minOccurs="0"/>
                <xsd:element ref="ns1:_ip_UnifiedCompliancePolicyProperties" minOccurs="0"/>
                <xsd:element ref="ns1:_ip_UnifiedCompliancePolicyUIAction" minOccurs="0"/>
                <xsd:element ref="ns3:MediaServiceDateTaken" minOccurs="0"/>
                <xsd:element ref="ns3:MediaServiceGenerationTime" minOccurs="0"/>
                <xsd:element ref="ns3:MediaServiceEventHashCode" minOccurs="0"/>
                <xsd:element ref="ns3:lcf76f155ced4ddcb4097134ff3c332f" minOccurs="0"/>
                <xsd:element ref="ns3:MediaServiceOCR" minOccurs="0"/>
                <xsd:element ref="ns3:MediaLengthInSeconds" minOccurs="0"/>
                <xsd:element ref="ns3:StagesVersion" minOccurs="0"/>
                <xsd:element ref="ns3:FileName" minOccurs="0"/>
                <xsd:element ref="ns3:d1dbf1e644cd43e3ba08fc18940e54a7" minOccurs="0"/>
                <xsd:element ref="ns3:Revision" minOccurs="0"/>
                <xsd:element ref="ns3:OriginalTitl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7" nillable="true" ma:displayName="Unified Compliance Policy Properties" ma:hidden="true" ma:internalName="_ip_UnifiedCompliancePolicyProperties">
      <xsd:simpleType>
        <xsd:restriction base="dms:Note"/>
      </xsd:simpleType>
    </xsd:element>
    <xsd:element name="_ip_UnifiedCompliancePolicyUIAction" ma:index="28"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4ff82b8-bc12-4f3b-85af-c94291380423" elementFormDefault="qualified">
    <xsd:import namespace="http://schemas.microsoft.com/office/2006/documentManagement/types"/>
    <xsd:import namespace="http://schemas.microsoft.com/office/infopath/2007/PartnerControls"/>
    <xsd:element name="TaxCatchAll" ma:index="8" nillable="true" ma:displayName="Taxonomy Catch All Column" ma:hidden="true" ma:list="{7fe28d51-46eb-4101-97d2-5ee7bb617f1b}" ma:internalName="TaxCatchAll" ma:showField="CatchAllData" ma:web="44ff82b8-bc12-4f3b-85af-c94291380423">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002a096b-e575-4747-8635-5f1618328375" elementFormDefault="qualified">
    <xsd:import namespace="http://schemas.microsoft.com/office/2006/documentManagement/types"/>
    <xsd:import namespace="http://schemas.microsoft.com/office/infopath/2007/PartnerControls"/>
    <xsd:element name="ia5e5c246e3044f5bccdde4c38804fde" ma:index="10" nillable="true" ma:taxonomy="true" ma:internalName="ia5e5c246e3044f5bccdde4c38804fde" ma:taxonomyFieldName="TOLLocation" ma:displayName="TOL Location" ma:fieldId="{2a5e5c24-6e30-44f5-bccd-de4c38804fde}" ma:taxonomyMulti="true" ma:sspId="036c1ffa-2869-427d-a718-c6834b1bcd24" ma:termSetId="a4a53b1e-4d9e-4659-bd30-ff73678fc533" ma:anchorId="00000000-0000-0000-0000-000000000000" ma:open="false" ma:isKeyword="false">
      <xsd:complexType>
        <xsd:sequence>
          <xsd:element ref="pc:Terms" minOccurs="0" maxOccurs="1"/>
        </xsd:sequence>
      </xsd:complexType>
    </xsd:element>
    <xsd:element name="TOLID" ma:index="11" nillable="true" ma:displayName="TOLID" ma:internalName="TOLID">
      <xsd:simpleType>
        <xsd:restriction base="dms:Text"/>
      </xsd:simpleType>
    </xsd:element>
    <xsd:element name="ReferenceDocument" ma:index="12" nillable="true" ma:displayName="Reference of Document" ma:internalName="ReferenceDocument">
      <xsd:simpleType>
        <xsd:restriction base="dms:Text"/>
      </xsd:simpleType>
    </xsd:element>
    <xsd:element name="ReferenceSystem" ma:index="13" nillable="true" ma:displayName="Reference System" ma:internalName="ReferenceSystem">
      <xsd:simpleType>
        <xsd:restriction base="dms:Text"/>
      </xsd:simpleType>
    </xsd:element>
    <xsd:element name="ValidityStart" ma:index="14" nillable="true" ma:displayName="Validity start date" ma:internalName="ValidityStart">
      <xsd:simpleType>
        <xsd:restriction base="dms:Text"/>
      </xsd:simpleType>
    </xsd:element>
    <xsd:element name="ValidityEnd" ma:index="15" nillable="true" ma:displayName="Validity end date" ma:internalName="ValidityEnd">
      <xsd:simpleType>
        <xsd:restriction base="dms:Text"/>
      </xsd:simpleType>
    </xsd:element>
    <xsd:element name="ProcessTrigram" ma:index="16" nillable="true" ma:displayName="Process trigram" ma:format="Dropdown" ma:internalName="ProcessTrigram">
      <xsd:simpleType>
        <xsd:restriction base="dms:Choice">
          <xsd:enumeration value="ACQ"/>
          <xsd:enumeration value="BID"/>
          <xsd:enumeration value="CFG"/>
          <xsd:enumeration value="COM"/>
          <xsd:enumeration value="DDQ"/>
          <xsd:enumeration value="DOC"/>
          <xsd:enumeration value="ESS"/>
          <xsd:enumeration value="EXP"/>
          <xsd:enumeration value="FIN"/>
          <xsd:enumeration value="FIP"/>
          <xsd:enumeration value="GOV"/>
          <xsd:enumeration value="HRC"/>
          <xsd:enumeration value="HRM"/>
          <xsd:enumeration value="HSE"/>
          <xsd:enumeration value="INF"/>
          <xsd:enumeration value="IWC "/>
          <xsd:enumeration value="LEG"/>
          <xsd:enumeration value="OFF"/>
          <xsd:enumeration value="PMD"/>
          <xsd:enumeration value="PRJ"/>
          <xsd:enumeration value="PRP"/>
          <xsd:enumeration value="QCI"/>
          <xsd:enumeration value="R&amp;T"/>
          <xsd:enumeration value="RES"/>
          <xsd:enumeration value="RSK"/>
          <xsd:enumeration value="SER"/>
          <xsd:enumeration value="SOP"/>
          <xsd:enumeration value="STR "/>
        </xsd:restriction>
      </xsd:simpleType>
    </xsd:element>
    <xsd:element name="Entity" ma:index="17" nillable="true" ma:displayName="Entity" ma:format="Dropdown" ma:internalName="Entity">
      <xsd:simpleType>
        <xsd:restriction base="dms:Choice">
          <xsd:enumeration value="AUS"/>
          <xsd:enumeration value="AUT"/>
          <xsd:enumeration value="BRA"/>
          <xsd:enumeration value="CAN"/>
          <xsd:enumeration value="CHE"/>
          <xsd:enumeration value="CHN"/>
          <xsd:enumeration value="DEU"/>
          <xsd:enumeration value="ESP"/>
          <xsd:enumeration value="GBR"/>
          <xsd:enumeration value="GRC"/>
          <xsd:enumeration value="GRP"/>
          <xsd:enumeration value="IND"/>
          <xsd:enumeration value="ITA"/>
          <xsd:enumeration value="KOR"/>
          <xsd:enumeration value="MEA"/>
          <xsd:enumeration value="MEX"/>
          <xsd:enumeration value="N&amp;B"/>
          <xsd:enumeration value="NLD"/>
          <xsd:enumeration value="NOR"/>
          <xsd:enumeration value="NZL"/>
          <xsd:enumeration value="POL"/>
          <xsd:enumeration value="PRT"/>
          <xsd:enumeration value="RCS"/>
          <xsd:enumeration value="ROU"/>
          <xsd:enumeration value="SAU"/>
          <xsd:enumeration value="SGF"/>
          <xsd:enumeration value="SGP"/>
          <xsd:enumeration value="USA"/>
          <xsd:enumeration value="ZAF"/>
          <xsd:enumeration value="Choice 30"/>
        </xsd:restriction>
      </xsd:simpleType>
    </xsd:element>
    <xsd:element name="DocType" ma:index="18" nillable="true" ma:displayName="Type of  document" ma:internalName="DocType">
      <xsd:simpleType>
        <xsd:restriction base="dms:Text"/>
      </xsd:simpleType>
    </xsd:element>
    <xsd:element name="DocLanguage" ma:index="19" nillable="true" ma:displayName="Document language" ma:default="EN" ma:format="Dropdown" ma:internalName="DocLanguage">
      <xsd:simpleType>
        <xsd:restriction base="dms:Choice">
          <xsd:enumeration value="AR"/>
          <xsd:enumeration value="DE"/>
          <xsd:enumeration value="EN"/>
          <xsd:enumeration value="ES"/>
          <xsd:enumeration value="FR"/>
          <xsd:enumeration value="IT"/>
          <xsd:enumeration value="NL"/>
          <xsd:enumeration value="NO"/>
          <xsd:enumeration value="PL"/>
          <xsd:enumeration value="PT"/>
          <xsd:enumeration value="RO "/>
        </xsd:restriction>
      </xsd:simpleType>
    </xsd:element>
    <xsd:element name="BusinessLine" ma:index="20" nillable="true" ma:displayName="Business line" ma:internalName="BusinessLine">
      <xsd:simpleType>
        <xsd:restriction base="dms:Text"/>
      </xsd:simpleType>
    </xsd:element>
    <xsd:element name="Site" ma:index="21" nillable="true" ma:displayName="Site" ma:format="Dropdown" ma:internalName="Site">
      <xsd:simpleType>
        <xsd:restriction base="dms:Choice">
          <xsd:enumeration value="Arnstadt"/>
          <xsd:enumeration value="Auckland"/>
          <xsd:enumeration value="Beijing"/>
          <xsd:enumeration value="Berlin"/>
          <xsd:enumeration value="Brive"/>
          <xsd:enumeration value="Bucharest"/>
          <xsd:enumeration value="Burnaby"/>
          <xsd:enumeration value="Cholet"/>
          <xsd:enumeration value="Crawley"/>
          <xsd:enumeration value="Cristal"/>
          <xsd:enumeration value="Delhi"/>
          <xsd:enumeration value="Ditzingen"/>
          <xsd:enumeration value="Dubai"/>
          <xsd:enumeration value="Eindhoven"/>
          <xsd:enumeration value="Firenze"/>
          <xsd:enumeration value="Hengelo"/>
          <xsd:enumeration value="Hong-Kong"/>
          <xsd:enumeration value="Huizen"/>
          <xsd:enumeration value="Intersyndicale"/>
          <xsd:enumeration value="Kiel"/>
          <xsd:enumeration value="Koblenz"/>
          <xsd:enumeration value="Laval"/>
          <xsd:enumeration value="Mulwala"/>
          <xsd:enumeration value="New-York"/>
          <xsd:enumeration value="Ottawa"/>
          <xsd:enumeration value="Paco De Arcos"/>
          <xsd:enumeration value="Pittsburgh"/>
          <xsd:enumeration value="Seoul"/>
          <xsd:enumeration value="Singapore"/>
          <xsd:enumeration value="Toronto"/>
          <xsd:enumeration value="Vergiate"/>
          <xsd:enumeration value="Wien"/>
          <xsd:enumeration value="Wilhelmshaven"/>
          <xsd:enumeration value="Zurich"/>
        </xsd:restriction>
      </xsd:simpleType>
    </xsd:element>
    <xsd:element name="Context" ma:index="22" nillable="true" ma:displayName="Context" ma:internalName="Context">
      <xsd:simpleType>
        <xsd:restriction base="dms:Text"/>
      </xsd:simpleType>
    </xsd:element>
    <xsd:element name="Tailoring" ma:index="23" nillable="true" ma:displayName="Tailoring" ma:internalName="Tailoring">
      <xsd:simpleType>
        <xsd:restriction base="dms:Text"/>
      </xsd:simpleType>
    </xsd:element>
    <xsd:element name="MediaServiceMetadata" ma:index="24" nillable="true" ma:displayName="MediaServiceMetadata" ma:hidden="true" ma:internalName="MediaServiceMetadata" ma:readOnly="true">
      <xsd:simpleType>
        <xsd:restriction base="dms:Note"/>
      </xsd:simpleType>
    </xsd:element>
    <xsd:element name="MediaServiceFastMetadata" ma:index="25" nillable="true" ma:displayName="MediaServiceFastMetadata" ma:hidden="true" ma:internalName="MediaServiceFastMetadata" ma:readOnly="true">
      <xsd:simpleType>
        <xsd:restriction base="dms:Note"/>
      </xsd:simpleType>
    </xsd:element>
    <xsd:element name="MediaServiceSearchProperties" ma:index="26" nillable="true" ma:displayName="MediaServiceSearchProperties" ma:hidden="true" ma:internalName="MediaServiceSearchProperties" ma:readOnly="true">
      <xsd:simpleType>
        <xsd:restriction base="dms:Note"/>
      </xsd:simpleType>
    </xsd:element>
    <xsd:element name="MediaServiceDateTaken" ma:index="29" nillable="true" ma:displayName="MediaServiceDateTaken" ma:hidden="true" ma:indexed="true" ma:internalName="MediaServiceDateTaken" ma:readOnly="true">
      <xsd:simpleType>
        <xsd:restriction base="dms:Text"/>
      </xsd:simpleType>
    </xsd:element>
    <xsd:element name="MediaServiceGenerationTime" ma:index="30" nillable="true" ma:displayName="MediaServiceGenerationTime" ma:hidden="true" ma:internalName="MediaServiceGenerationTime" ma:readOnly="true">
      <xsd:simpleType>
        <xsd:restriction base="dms:Text"/>
      </xsd:simpleType>
    </xsd:element>
    <xsd:element name="MediaServiceEventHashCode" ma:index="31" nillable="true" ma:displayName="MediaServiceEventHashCode" ma:hidden="true" ma:internalName="MediaServiceEventHashCode" ma:readOnly="true">
      <xsd:simpleType>
        <xsd:restriction base="dms:Text"/>
      </xsd:simpleType>
    </xsd:element>
    <xsd:element name="lcf76f155ced4ddcb4097134ff3c332f" ma:index="33" nillable="true" ma:taxonomy="true" ma:internalName="lcf76f155ced4ddcb4097134ff3c332f" ma:taxonomyFieldName="MediaServiceImageTags" ma:displayName="Image Tags" ma:readOnly="false" ma:fieldId="{5cf76f15-5ced-4ddc-b409-7134ff3c332f}" ma:taxonomyMulti="true" ma:sspId="036c1ffa-2869-427d-a718-c6834b1bcd24" ma:termSetId="09814cd3-568e-fe90-9814-8d621ff8fb84" ma:anchorId="fba54fb3-c3e1-fe81-a776-ca4b69148c4d" ma:open="true" ma:isKeyword="false">
      <xsd:complexType>
        <xsd:sequence>
          <xsd:element ref="pc:Terms" minOccurs="0" maxOccurs="1"/>
        </xsd:sequence>
      </xsd:complexType>
    </xsd:element>
    <xsd:element name="MediaServiceOCR" ma:index="34" nillable="true" ma:displayName="Extracted Text" ma:internalName="MediaServiceOCR" ma:readOnly="true">
      <xsd:simpleType>
        <xsd:restriction base="dms:Note">
          <xsd:maxLength value="255"/>
        </xsd:restriction>
      </xsd:simpleType>
    </xsd:element>
    <xsd:element name="MediaLengthInSeconds" ma:index="35" nillable="true" ma:displayName="MediaLengthInSeconds" ma:hidden="true" ma:internalName="MediaLengthInSeconds" ma:readOnly="true">
      <xsd:simpleType>
        <xsd:restriction base="dms:Unknown"/>
      </xsd:simpleType>
    </xsd:element>
    <xsd:element name="StagesVersion" ma:index="36" nillable="true" ma:displayName="Stages Version" ma:format="Dropdown" ma:internalName="StagesVersion" ma:percentage="FALSE">
      <xsd:simpleType>
        <xsd:restriction base="dms:Number"/>
      </xsd:simpleType>
    </xsd:element>
    <xsd:element name="FileName" ma:index="37" nillable="true" ma:displayName="File Name" ma:internalName="FileName">
      <xsd:simpleType>
        <xsd:restriction base="dms:Text"/>
      </xsd:simpleType>
    </xsd:element>
    <xsd:element name="d1dbf1e644cd43e3ba08fc18940e54a7" ma:index="39" nillable="true" ma:taxonomy="true" ma:internalName="d1dbf1e644cd43e3ba08fc18940e54a7" ma:taxonomyFieldName="Stages_x0020_version_x0020_" ma:displayName="Stages version " ma:default="" ma:fieldId="{d1dbf1e6-44cd-43e3-ba08-fc18940e54a7}" ma:sspId="036c1ffa-2869-427d-a718-c6834b1bcd24" ma:termSetId="6ce2c569-c6aa-4cfa-8df3-079c92c2a4ab" ma:anchorId="00000000-0000-0000-0000-000000000000" ma:open="false" ma:isKeyword="false">
      <xsd:complexType>
        <xsd:sequence>
          <xsd:element ref="pc:Terms" minOccurs="0" maxOccurs="1"/>
        </xsd:sequence>
      </xsd:complexType>
    </xsd:element>
    <xsd:element name="Revision" ma:index="40" nillable="true" ma:displayName="Revision" ma:decimals="0" ma:format="Dropdown" ma:indexed="true" ma:internalName="Revision" ma:percentage="FALSE">
      <xsd:simpleType>
        <xsd:restriction base="dms:Number"/>
      </xsd:simpleType>
    </xsd:element>
    <xsd:element name="OriginalTitle" ma:index="41" nillable="true" ma:displayName="Original Title" ma:internalName="OriginalTitl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ValidityEnd xmlns="002a096b-e575-4747-8635-5f1618328375">31-12-2099</ValidityEnd>
    <ia5e5c246e3044f5bccdde4c38804fde xmlns="002a096b-e575-4747-8635-5f1618328375">
      <Terms xmlns="http://schemas.microsoft.com/office/infopath/2007/PartnerControls">
        <TermInfo xmlns="http://schemas.microsoft.com/office/infopath/2007/PartnerControls">
          <TermName xmlns="http://schemas.microsoft.com/office/infopath/2007/PartnerControls">83410775-PRJ-CAN-EN - URS Generic WBS OBS and RACI Matrix</TermName>
          <TermId xmlns="http://schemas.microsoft.com/office/infopath/2007/PartnerControls">663479eb-dead-46c9-8dfd-672aba3f9714</TermId>
        </TermInfo>
      </Terms>
    </ia5e5c246e3044f5bccdde4c38804fde>
    <BusinessLine xmlns="002a096b-e575-4747-8635-5f1618328375">GTS URS</BusinessLine>
    <TOLID xmlns="002a096b-e575-4747-8635-5f1618328375">0001-0049770802</TOLID>
    <Context xmlns="002a096b-e575-4747-8635-5f1618328375" xsi:nil="true"/>
    <StagesVersion xmlns="002a096b-e575-4747-8635-5f1618328375" xsi:nil="true"/>
    <DocType xmlns="002a096b-e575-4747-8635-5f1618328375">Template and Form</DocType>
    <ReferenceDocument xmlns="002a096b-e575-4747-8635-5f1618328375">83410775-PRJ-CAN-EN-011</ReferenceDocument>
    <FileName xmlns="002a096b-e575-4747-8635-5f1618328375">83410775-PRJ-CAN-EN - URS Generic WBS OBS and RACI Matrix.xlsx</FileName>
    <TaxCatchAll xmlns="44ff82b8-bc12-4f3b-85af-c94291380423">
      <Value>603</Value>
    </TaxCatchAll>
    <ValidityStart xmlns="002a096b-e575-4747-8635-5f1618328375">30-06-2022</ValidityStart>
    <lcf76f155ced4ddcb4097134ff3c332f xmlns="002a096b-e575-4747-8635-5f1618328375">
      <Terms xmlns="http://schemas.microsoft.com/office/infopath/2007/PartnerControls"/>
    </lcf76f155ced4ddcb4097134ff3c332f>
    <DocLanguage xmlns="002a096b-e575-4747-8635-5f1618328375">EN</DocLanguage>
    <Tailoring xmlns="002a096b-e575-4747-8635-5f1618328375" xsi:nil="true"/>
    <Site xmlns="002a096b-e575-4747-8635-5f1618328375">System.Object[]</Site>
    <ReferenceSystem xmlns="002a096b-e575-4747-8635-5f1618328375">TRS</ReferenceSystem>
    <ProcessTrigram xmlns="002a096b-e575-4747-8635-5f1618328375">PRJ</ProcessTrigram>
    <Entity xmlns="002a096b-e575-4747-8635-5f1618328375">CAN</Entity>
    <d1dbf1e644cd43e3ba08fc18940e54a7 xmlns="002a096b-e575-4747-8635-5f1618328375">
      <Terms xmlns="http://schemas.microsoft.com/office/infopath/2007/PartnerControls"/>
    </d1dbf1e644cd43e3ba08fc18940e54a7>
    <Revision xmlns="002a096b-e575-4747-8635-5f1618328375">12</Revision>
    <OriginalTitle xmlns="002a096b-e575-4747-8635-5f1618328375" xsi:nil="true"/>
  </documentManagement>
</p:properties>
</file>

<file path=customXml/itemProps1.xml><?xml version="1.0" encoding="utf-8"?>
<ds:datastoreItem xmlns:ds="http://schemas.openxmlformats.org/officeDocument/2006/customXml" ds:itemID="{085A7AF3-88B4-4157-92C0-D5125CFF414C}"/>
</file>

<file path=customXml/itemProps2.xml><?xml version="1.0" encoding="utf-8"?>
<ds:datastoreItem xmlns:ds="http://schemas.openxmlformats.org/officeDocument/2006/customXml" ds:itemID="{2D37868D-6C8A-4C53-9CB3-C3B7BC406CC7}"/>
</file>

<file path=customXml/itemProps3.xml><?xml version="1.0" encoding="utf-8"?>
<ds:datastoreItem xmlns:ds="http://schemas.openxmlformats.org/officeDocument/2006/customXml" ds:itemID="{72B5878B-EAF5-48DC-BE07-7E831B2B298C}"/>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Excel document template Chorus 2.0</dc:title>
  <dc:subject/>
  <dc:creator>N/A</dc:creator>
  <cp:keywords/>
  <dc:description/>
  <cp:lastModifiedBy/>
  <cp:revision/>
  <dcterms:created xsi:type="dcterms:W3CDTF">2006-01-13T14:55:33Z</dcterms:created>
  <dcterms:modified xsi:type="dcterms:W3CDTF">2026-06-17T16:27:31Z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f38c91a-b32e-488d-b670-a1d2c23c2c99_Enabled">
    <vt:lpwstr>true</vt:lpwstr>
  </property>
  <property fmtid="{D5CDD505-2E9C-101B-9397-08002B2CF9AE}" pid="3" name="MSIP_Label_ff38c91a-b32e-488d-b670-a1d2c23c2c99_SetDate">
    <vt:lpwstr>2025-02-11T18:01:02Z</vt:lpwstr>
  </property>
  <property fmtid="{D5CDD505-2E9C-101B-9397-08002B2CF9AE}" pid="4" name="MSIP_Label_ff38c91a-b32e-488d-b670-a1d2c23c2c99_Method">
    <vt:lpwstr>Privileged</vt:lpwstr>
  </property>
  <property fmtid="{D5CDD505-2E9C-101B-9397-08002B2CF9AE}" pid="5" name="MSIP_Label_ff38c91a-b32e-488d-b670-a1d2c23c2c99_Name">
    <vt:lpwstr>NEST-CORE-02</vt:lpwstr>
  </property>
  <property fmtid="{D5CDD505-2E9C-101B-9397-08002B2CF9AE}" pid="6" name="MSIP_Label_ff38c91a-b32e-488d-b670-a1d2c23c2c99_SiteId">
    <vt:lpwstr>f33c7791-13ed-4c20-878e-518e247895dc</vt:lpwstr>
  </property>
  <property fmtid="{D5CDD505-2E9C-101B-9397-08002B2CF9AE}" pid="7" name="MSIP_Label_ff38c91a-b32e-488d-b670-a1d2c23c2c99_ActionId">
    <vt:lpwstr>fa226c81-9fd4-41d9-b581-cfb37b673437</vt:lpwstr>
  </property>
  <property fmtid="{D5CDD505-2E9C-101B-9397-08002B2CF9AE}" pid="8" name="MSIP_Label_ff38c91a-b32e-488d-b670-a1d2c23c2c99_ContentBits">
    <vt:lpwstr>3</vt:lpwstr>
  </property>
  <property fmtid="{D5CDD505-2E9C-101B-9397-08002B2CF9AE}" pid="9" name="MSIP_Label_ff38c91a-b32e-488d-b670-a1d2c23c2c99_Tag">
    <vt:lpwstr>10, 0, 1, 1</vt:lpwstr>
  </property>
  <property fmtid="{D5CDD505-2E9C-101B-9397-08002B2CF9AE}" pid="10" name="ContentTypeId">
    <vt:lpwstr>0x01010008DDE9FE2D247D4494D660DB048602F0</vt:lpwstr>
  </property>
  <property fmtid="{D5CDD505-2E9C-101B-9397-08002B2CF9AE}" pid="11" name="MediaServiceImageTags">
    <vt:lpwstr/>
  </property>
  <property fmtid="{D5CDD505-2E9C-101B-9397-08002B2CF9AE}" pid="12" name="TOLLocation">
    <vt:lpwstr>603;#83410775-PRJ-CAN-EN - URS Generic WBS OBS and RACI Matrix|663479eb-dead-46c9-8dfd-672aba3f9714</vt:lpwstr>
  </property>
  <property fmtid="{D5CDD505-2E9C-101B-9397-08002B2CF9AE}" pid="13" name="Stages_x0020_version_x0020_">
    <vt:lpwstr/>
  </property>
  <property fmtid="{D5CDD505-2E9C-101B-9397-08002B2CF9AE}" pid="14" name="Stages version ">
    <vt:lpwstr/>
  </property>
  <property fmtid="{D5CDD505-2E9C-101B-9397-08002B2CF9AE}" pid="15" name="Stages version">
    <vt:lpwstr/>
  </property>
</Properties>
</file>